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General_2024" sheetId="1" state="visible" r:id="rId1"/>
    <sheet name="EstadoResultados_2024" sheetId="2" state="visible" r:id="rId2"/>
    <sheet name="BalanceGeneral_2025" sheetId="3" state="visible" r:id="rId3"/>
    <sheet name="EstadoResultados_2025" sheetId="4" state="visible" r:id="rId4"/>
    <sheet name="BalanceGeneral_2026" sheetId="5" state="visible" r:id="rId5"/>
    <sheet name="EstadoResultados_2026" sheetId="6" state="visible" r:id="rId6"/>
    <sheet name="BalanceGeneral_2027" sheetId="7" state="visible" r:id="rId7"/>
    <sheet name="EstadoResultados_2027" sheetId="8" state="visible" r:id="rId8"/>
    <sheet name="BalanceGeneral_2028" sheetId="9" state="visible" r:id="rId9"/>
    <sheet name="EstadoResultados_2028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1" pivotButton="0" quotePrefix="0" xfId="0"/>
    <xf numFmtId="0" fontId="0" fillId="0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LEYENDA:</t>
        </is>
      </c>
      <c r="B1" s="2" t="n"/>
      <c r="C1" s="3" t="n"/>
      <c r="E1" t="inlineStr"/>
      <c r="F1" t="inlineStr"/>
      <c r="G1" t="inlineStr"/>
      <c r="H1" t="inlineStr"/>
    </row>
    <row r="2">
      <c r="A2" s="4" t="inlineStr">
        <is>
          <t>Activos</t>
        </is>
      </c>
      <c r="B2" s="4" t="inlineStr"/>
      <c r="C2" s="4" t="inlineStr"/>
      <c r="D2" s="4" t="inlineStr"/>
      <c r="E2" s="4" t="inlineStr">
        <is>
          <t>Pasivos y Patrimonio</t>
        </is>
      </c>
      <c r="F2" s="4" t="inlineStr"/>
      <c r="G2" s="4" t="inlineStr"/>
      <c r="H2" s="4" t="inlineStr"/>
    </row>
    <row r="3">
      <c r="A3" s="5" t="inlineStr">
        <is>
          <t>Código</t>
        </is>
      </c>
      <c r="B3" s="5" t="inlineStr">
        <is>
          <t>Nombre</t>
        </is>
      </c>
      <c r="C3" s="5" t="inlineStr">
        <is>
          <t>Debe</t>
        </is>
      </c>
      <c r="D3" s="5" t="inlineStr">
        <is>
          <t>Haber</t>
        </is>
      </c>
      <c r="E3" s="5" t="inlineStr">
        <is>
          <t>Código</t>
        </is>
      </c>
      <c r="F3" s="5" t="inlineStr">
        <is>
          <t>Nombre</t>
        </is>
      </c>
      <c r="G3" s="5" t="inlineStr">
        <is>
          <t>Debe</t>
        </is>
      </c>
      <c r="H3" s="5" t="inlineStr">
        <is>
          <t>Haber</t>
        </is>
      </c>
    </row>
    <row r="4">
      <c r="A4" s="6" t="inlineStr">
        <is>
          <t>Activo Corriente</t>
        </is>
      </c>
      <c r="E4" s="6" t="inlineStr">
        <is>
          <t>Pasivo Corriente</t>
        </is>
      </c>
    </row>
    <row r="5">
      <c r="A5" t="inlineStr">
        <is>
          <t>1101</t>
        </is>
      </c>
      <c r="B5" t="inlineStr">
        <is>
          <t>Caja</t>
        </is>
      </c>
      <c r="C5" s="2" t="n">
        <v>45000</v>
      </c>
      <c r="D5" s="3" t="n">
        <v>0</v>
      </c>
      <c r="E5" t="inlineStr">
        <is>
          <t>2101</t>
        </is>
      </c>
      <c r="F5" t="inlineStr">
        <is>
          <t>Cuentas por Pagar a Proveedores</t>
        </is>
      </c>
      <c r="G5" s="2" t="n">
        <v>0</v>
      </c>
      <c r="H5" s="3" t="n">
        <v>95000</v>
      </c>
    </row>
    <row r="6">
      <c r="A6" t="inlineStr">
        <is>
          <t>1102</t>
        </is>
      </c>
      <c r="B6" t="inlineStr">
        <is>
          <t>Bancos</t>
        </is>
      </c>
      <c r="C6" s="2" t="n">
        <v>130000</v>
      </c>
      <c r="D6" s="3" t="n">
        <v>0</v>
      </c>
      <c r="E6" t="inlineStr">
        <is>
          <t>2102</t>
        </is>
      </c>
      <c r="F6" t="inlineStr">
        <is>
          <t>Otras Cuentas por Pagar / Pasivos Acumulados CP</t>
        </is>
      </c>
      <c r="G6" s="2" t="n">
        <v>0</v>
      </c>
      <c r="H6" s="3" t="n">
        <v>35000</v>
      </c>
    </row>
    <row r="7">
      <c r="A7" t="inlineStr">
        <is>
          <t>1103</t>
        </is>
      </c>
      <c r="B7" t="inlineStr">
        <is>
          <t>Equivalentes de Efectivo / Inversiones a Corto Plazo</t>
        </is>
      </c>
      <c r="C7" s="2" t="n">
        <v>25000</v>
      </c>
      <c r="D7" s="3" t="n">
        <v>0</v>
      </c>
      <c r="E7" t="inlineStr">
        <is>
          <t>2103</t>
        </is>
      </c>
      <c r="F7" t="inlineStr">
        <is>
          <t>Porción Corriente de Préstamos</t>
        </is>
      </c>
      <c r="G7" s="2" t="n">
        <v>0</v>
      </c>
      <c r="H7" s="3" t="n">
        <v>20000</v>
      </c>
    </row>
    <row r="8">
      <c r="A8" t="inlineStr">
        <is>
          <t>1201</t>
        </is>
      </c>
      <c r="B8" t="inlineStr">
        <is>
          <t>Cuentas por Cobrar Comerciales</t>
        </is>
      </c>
      <c r="C8" s="2" t="n">
        <v>80000</v>
      </c>
      <c r="D8" s="3" t="n">
        <v>0</v>
      </c>
      <c r="E8" t="inlineStr">
        <is>
          <t>2104</t>
        </is>
      </c>
      <c r="F8" t="inlineStr">
        <is>
          <t>Documentos por Pagar</t>
        </is>
      </c>
      <c r="G8" s="2" t="n">
        <v>0</v>
      </c>
      <c r="H8" s="3" t="n">
        <v>40000</v>
      </c>
    </row>
    <row r="9">
      <c r="A9" t="inlineStr">
        <is>
          <t>1202</t>
        </is>
      </c>
      <c r="B9" t="inlineStr">
        <is>
          <t>Estimación para Cuentas Incobrables</t>
        </is>
      </c>
      <c r="C9" s="2" t="n">
        <v>0</v>
      </c>
      <c r="D9" s="3" t="n">
        <v>5000</v>
      </c>
      <c r="E9" t="inlineStr">
        <is>
          <t>5701</t>
        </is>
      </c>
      <c r="F9" t="inlineStr">
        <is>
          <t>Pago de Capital de Préstamos / Servicio de Deuda</t>
        </is>
      </c>
      <c r="G9" s="2" t="n">
        <v>0</v>
      </c>
      <c r="H9" s="3" t="n">
        <v>10000</v>
      </c>
    </row>
    <row r="10">
      <c r="A10" t="inlineStr">
        <is>
          <t>1301</t>
        </is>
      </c>
      <c r="B10" t="inlineStr">
        <is>
          <t>Inventarios</t>
        </is>
      </c>
      <c r="C10" s="2" t="n">
        <v>150000</v>
      </c>
      <c r="D10" s="3" t="n">
        <v>0</v>
      </c>
      <c r="E10" s="6" t="inlineStr">
        <is>
          <t>Total Pasivo Corriente</t>
        </is>
      </c>
      <c r="H10" s="7">
        <f>SUM(H5:H9)-SUM(G5:G9)</f>
        <v/>
      </c>
    </row>
    <row r="11">
      <c r="A11" t="inlineStr">
        <is>
          <t>1401</t>
        </is>
      </c>
      <c r="B11" t="inlineStr">
        <is>
          <t>Otros Activos Corrientes</t>
        </is>
      </c>
      <c r="C11" s="2" t="n">
        <v>10000</v>
      </c>
      <c r="D11" s="3" t="n">
        <v>0</v>
      </c>
      <c r="E11" s="6" t="inlineStr">
        <is>
          <t>Pasivo No Corriente</t>
        </is>
      </c>
    </row>
    <row r="12">
      <c r="A12" s="6" t="inlineStr">
        <is>
          <t>Total Activo Corriente</t>
        </is>
      </c>
      <c r="D12" s="7">
        <f>SUM(D5:D11)-SUM(C5:C11)</f>
        <v/>
      </c>
      <c r="E12" t="inlineStr">
        <is>
          <t>2501</t>
        </is>
      </c>
      <c r="F12" t="inlineStr">
        <is>
          <t>Préstamos y Obligaciones a Largo Plazo</t>
        </is>
      </c>
      <c r="G12" s="2" t="n">
        <v>0</v>
      </c>
      <c r="H12" s="3" t="n">
        <v>150000</v>
      </c>
    </row>
    <row r="13">
      <c r="A13" s="6" t="inlineStr">
        <is>
          <t>Activo No Corriente</t>
        </is>
      </c>
      <c r="E13" s="6" t="inlineStr">
        <is>
          <t>Total Pasivo No Corriente</t>
        </is>
      </c>
      <c r="H13" s="7">
        <f>SUM(H12:H12)-SUM(G12:G12)</f>
        <v/>
      </c>
    </row>
    <row r="14">
      <c r="A14" t="inlineStr">
        <is>
          <t>1501</t>
        </is>
      </c>
      <c r="B14" t="inlineStr">
        <is>
          <t>Propiedad, Planta y Equipo - Costo</t>
        </is>
      </c>
      <c r="C14" s="2" t="n">
        <v>600000</v>
      </c>
      <c r="D14" s="3" t="n">
        <v>0</v>
      </c>
      <c r="E14" s="6" t="inlineStr">
        <is>
          <t>Patrimonio</t>
        </is>
      </c>
    </row>
    <row r="15">
      <c r="A15" t="inlineStr">
        <is>
          <t>1502</t>
        </is>
      </c>
      <c r="B15" t="inlineStr">
        <is>
          <t>Depreciación Acumulada de PPE</t>
        </is>
      </c>
      <c r="C15" s="2" t="n">
        <v>0</v>
      </c>
      <c r="D15" s="3" t="n">
        <v>120000</v>
      </c>
      <c r="E15" t="inlineStr">
        <is>
          <t>3101</t>
        </is>
      </c>
      <c r="F15" t="inlineStr">
        <is>
          <t>Capital Social</t>
        </is>
      </c>
      <c r="G15" s="2" t="n">
        <v>0</v>
      </c>
      <c r="H15" s="3" t="n">
        <v>500000</v>
      </c>
    </row>
    <row r="16">
      <c r="A16" t="inlineStr">
        <is>
          <t>1601</t>
        </is>
      </c>
      <c r="B16" t="inlineStr">
        <is>
          <t>Activos Intangibles</t>
        </is>
      </c>
      <c r="C16" s="2" t="n">
        <v>90000</v>
      </c>
      <c r="D16" s="3" t="n">
        <v>0</v>
      </c>
      <c r="E16" t="inlineStr">
        <is>
          <t>3102</t>
        </is>
      </c>
      <c r="F16" t="inlineStr">
        <is>
          <t>Reservas / Otras Cuentas de Patrimonio</t>
        </is>
      </c>
      <c r="G16" s="2" t="n">
        <v>0</v>
      </c>
      <c r="H16" s="3" t="n">
        <v>60000</v>
      </c>
    </row>
    <row r="17">
      <c r="A17" t="inlineStr">
        <is>
          <t>1602</t>
        </is>
      </c>
      <c r="B17" t="inlineStr">
        <is>
          <t>Amortización Acumulada</t>
        </is>
      </c>
      <c r="C17" s="2" t="n">
        <v>0</v>
      </c>
      <c r="D17" s="3" t="n">
        <v>15000</v>
      </c>
      <c r="E17" t="inlineStr">
        <is>
          <t>3103</t>
        </is>
      </c>
      <c r="F17" t="inlineStr">
        <is>
          <t>Utilidades Retenidas / Resultados Acumulados</t>
        </is>
      </c>
      <c r="G17" s="2" t="n">
        <v>0</v>
      </c>
      <c r="H17" s="3" t="n">
        <v>100000</v>
      </c>
    </row>
    <row r="18">
      <c r="A18" t="inlineStr">
        <is>
          <t>1701</t>
        </is>
      </c>
      <c r="B18" t="inlineStr">
        <is>
          <t>Otros Activos No Corrientes</t>
        </is>
      </c>
      <c r="C18" s="2" t="n">
        <v>20000</v>
      </c>
      <c r="D18" s="3" t="n">
        <v>0</v>
      </c>
      <c r="E18" s="6" t="inlineStr">
        <is>
          <t>Total Patrimonio</t>
        </is>
      </c>
      <c r="H18" s="7">
        <f>SUM(H15:H17)-SUM(G15:G17)</f>
        <v/>
      </c>
    </row>
    <row r="19">
      <c r="A19" s="6" t="inlineStr">
        <is>
          <t>Total Activo No Corriente</t>
        </is>
      </c>
      <c r="D19" s="7">
        <f>SUM(D14:D18)-SUM(C14:C18)</f>
        <v/>
      </c>
    </row>
    <row r="20">
      <c r="E20" s="6" t="inlineStr">
        <is>
          <t>Total Pasivos y Patrimonio</t>
        </is>
      </c>
      <c r="H20" s="6">
        <f>H10+H13+H18</f>
        <v/>
      </c>
    </row>
    <row r="21">
      <c r="A21" s="6" t="inlineStr">
        <is>
          <t>Total Activos</t>
        </is>
      </c>
      <c r="D21" s="6">
        <f>D12+D19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LEYENDA:</t>
        </is>
      </c>
      <c r="B1" s="2" t="n"/>
      <c r="C1" s="3" t="n"/>
    </row>
    <row r="2">
      <c r="A2" s="4" t="inlineStr">
        <is>
          <t>Código</t>
        </is>
      </c>
      <c r="B2" s="4" t="inlineStr">
        <is>
          <t>Cuenta</t>
        </is>
      </c>
      <c r="C2" s="4" t="inlineStr">
        <is>
          <t>Debe</t>
        </is>
      </c>
      <c r="D2" s="4" t="inlineStr">
        <is>
          <t>Haber</t>
        </is>
      </c>
      <c r="E2" s="4" t="inlineStr">
        <is>
          <t>Total</t>
        </is>
      </c>
    </row>
    <row r="3">
      <c r="A3" t="inlineStr">
        <is>
          <t>4101</t>
        </is>
      </c>
      <c r="B3" s="8" t="inlineStr">
        <is>
          <t>Ventas</t>
        </is>
      </c>
      <c r="C3" s="2" t="n">
        <v>0</v>
      </c>
      <c r="D3" s="3" t="n">
        <v>1200000</v>
      </c>
      <c r="E3">
        <f>D3-C3</f>
        <v/>
      </c>
    </row>
    <row r="4">
      <c r="A4" t="inlineStr">
        <is>
          <t>4102</t>
        </is>
      </c>
      <c r="B4" s="8" t="inlineStr">
        <is>
          <t>Descuentos sobre Ventas</t>
        </is>
      </c>
      <c r="C4" s="2" t="n">
        <v>30000</v>
      </c>
      <c r="D4" s="3" t="n">
        <v>0</v>
      </c>
      <c r="E4">
        <f>D4-C4</f>
        <v/>
      </c>
    </row>
    <row r="5">
      <c r="A5" t="inlineStr">
        <is>
          <t>4103</t>
        </is>
      </c>
      <c r="B5" s="8" t="inlineStr">
        <is>
          <t>Devoluciones sobre Ventas</t>
        </is>
      </c>
      <c r="C5" s="2" t="n">
        <v>20000</v>
      </c>
      <c r="D5" s="3" t="n">
        <v>0</v>
      </c>
      <c r="E5">
        <f>D5-C5</f>
        <v/>
      </c>
    </row>
    <row r="6">
      <c r="B6" s="6" t="inlineStr">
        <is>
          <t>Ventas Netas</t>
        </is>
      </c>
      <c r="E6" s="7">
        <f>SUM(D3:D5)-SUM(C3:C5)</f>
        <v/>
      </c>
    </row>
    <row r="7">
      <c r="A7" t="inlineStr">
        <is>
          <t>5101</t>
        </is>
      </c>
      <c r="B7" s="8" t="inlineStr">
        <is>
          <t>Costo de Ventas</t>
        </is>
      </c>
      <c r="C7" s="2" t="n">
        <v>650000</v>
      </c>
      <c r="D7" s="3" t="n">
        <v>0</v>
      </c>
      <c r="E7">
        <f>D7-C7</f>
        <v/>
      </c>
    </row>
    <row r="8">
      <c r="A8" t="inlineStr">
        <is>
          <t>5102</t>
        </is>
      </c>
      <c r="B8" s="8" t="inlineStr">
        <is>
          <t>Devoluciones sobre Compras</t>
        </is>
      </c>
      <c r="C8" s="2" t="n">
        <v>10000</v>
      </c>
      <c r="D8" s="3" t="n">
        <v>0</v>
      </c>
      <c r="E8">
        <f>D8-C8</f>
        <v/>
      </c>
    </row>
    <row r="9">
      <c r="B9" s="6" t="inlineStr">
        <is>
          <t>Costo Neto de Ventas</t>
        </is>
      </c>
      <c r="E9" s="7">
        <f>SUM(D7:D8)-SUM(C7:C8)</f>
        <v/>
      </c>
    </row>
    <row r="10">
      <c r="A10" t="inlineStr">
        <is>
          <t>5201</t>
        </is>
      </c>
      <c r="B10" s="8" t="inlineStr">
        <is>
          <t>Gastos Operativos / Administración</t>
        </is>
      </c>
      <c r="C10" s="2" t="n">
        <v>120000</v>
      </c>
      <c r="D10" s="3" t="n">
        <v>0</v>
      </c>
      <c r="E10">
        <f>D10-C10</f>
        <v/>
      </c>
    </row>
    <row r="11">
      <c r="A11" t="inlineStr">
        <is>
          <t>5202</t>
        </is>
      </c>
      <c r="B11" s="8" t="inlineStr">
        <is>
          <t>Gastos de Venta</t>
        </is>
      </c>
      <c r="C11" s="2" t="n">
        <v>80000</v>
      </c>
      <c r="D11" s="3" t="n">
        <v>0</v>
      </c>
      <c r="E11">
        <f>D11-C11</f>
        <v/>
      </c>
    </row>
    <row r="12">
      <c r="A12" t="inlineStr">
        <is>
          <t>5203</t>
        </is>
      </c>
      <c r="B12" s="8" t="inlineStr">
        <is>
          <t>Gastos Generales</t>
        </is>
      </c>
      <c r="C12" s="2" t="n">
        <v>40000</v>
      </c>
      <c r="D12" s="3" t="n">
        <v>0</v>
      </c>
      <c r="E12">
        <f>D12-C12</f>
        <v/>
      </c>
    </row>
    <row r="13">
      <c r="B13" s="6" t="inlineStr">
        <is>
          <t>Gastos Operativos</t>
        </is>
      </c>
      <c r="E13" s="7">
        <f>SUM(D10:D12)-SUM(C10:C12)</f>
        <v/>
      </c>
    </row>
    <row r="14">
      <c r="A14" t="inlineStr">
        <is>
          <t>4301</t>
        </is>
      </c>
      <c r="B14" s="8" t="inlineStr">
        <is>
          <t>Otros Ingresos</t>
        </is>
      </c>
      <c r="C14" s="2" t="n">
        <v>0</v>
      </c>
      <c r="D14" s="3" t="n">
        <v>25000</v>
      </c>
      <c r="E14">
        <f>D14-C14</f>
        <v/>
      </c>
    </row>
    <row r="15">
      <c r="B15" s="6" t="inlineStr">
        <is>
          <t>Otros Ingresos</t>
        </is>
      </c>
      <c r="E15" s="7">
        <f>SUM(D14:D14)-SUM(C14:C14)</f>
        <v/>
      </c>
    </row>
    <row r="16">
      <c r="A16" t="inlineStr">
        <is>
          <t>5301</t>
        </is>
      </c>
      <c r="B16" s="8" t="inlineStr">
        <is>
          <t>Otros Gastos</t>
        </is>
      </c>
      <c r="C16" s="2" t="n">
        <v>15000</v>
      </c>
      <c r="D16" s="3" t="n">
        <v>0</v>
      </c>
      <c r="E16">
        <f>D16-C16</f>
        <v/>
      </c>
    </row>
    <row r="17">
      <c r="B17" s="6" t="inlineStr">
        <is>
          <t>Otros Gastos</t>
        </is>
      </c>
      <c r="E17" s="7">
        <f>SUM(D16:D16)-SUM(C16:C16)</f>
        <v/>
      </c>
    </row>
    <row r="18">
      <c r="A18" t="inlineStr">
        <is>
          <t>5401</t>
        </is>
      </c>
      <c r="B18" s="8" t="inlineStr">
        <is>
          <t>Gasto Financiero / Intereses</t>
        </is>
      </c>
      <c r="C18" s="2" t="n">
        <v>12000</v>
      </c>
      <c r="D18" s="3" t="n">
        <v>0</v>
      </c>
      <c r="E18">
        <f>D18-C18</f>
        <v/>
      </c>
    </row>
    <row r="19">
      <c r="B19" s="6" t="inlineStr">
        <is>
          <t>Gasto Financiero</t>
        </is>
      </c>
      <c r="E19" s="7">
        <f>SUM(D18:D18)-SUM(C18:C18)</f>
        <v/>
      </c>
    </row>
    <row r="20">
      <c r="A20" t="inlineStr">
        <is>
          <t>5501</t>
        </is>
      </c>
      <c r="B20" s="8" t="inlineStr">
        <is>
          <t>Impuesto sobre la Renta</t>
        </is>
      </c>
      <c r="C20" s="2" t="n">
        <v>0</v>
      </c>
      <c r="D20" s="3" t="n">
        <v>50000</v>
      </c>
      <c r="E20">
        <f>D20-C20</f>
        <v/>
      </c>
    </row>
    <row r="21">
      <c r="B21" s="6" t="inlineStr">
        <is>
          <t>Impuesto sobre la Renta</t>
        </is>
      </c>
      <c r="E21" s="7">
        <f>SUM(D20:D20)-SUM(C20:C20)</f>
        <v/>
      </c>
    </row>
    <row r="22">
      <c r="A22" t="inlineStr">
        <is>
          <t>5103</t>
        </is>
      </c>
      <c r="B22" s="8" t="inlineStr">
        <is>
          <t>Compras de Mercancías</t>
        </is>
      </c>
      <c r="C22" s="2" t="n">
        <v>600000</v>
      </c>
      <c r="D22" s="3" t="n">
        <v>0</v>
      </c>
      <c r="E22">
        <f>D22-C22</f>
        <v/>
      </c>
    </row>
    <row r="23">
      <c r="A23" t="inlineStr">
        <is>
          <t>5601</t>
        </is>
      </c>
      <c r="B23" s="8" t="inlineStr">
        <is>
          <t>Gasto por Depreciación</t>
        </is>
      </c>
      <c r="C23" s="2" t="n">
        <v>25000</v>
      </c>
      <c r="D23" s="3" t="n">
        <v>0</v>
      </c>
      <c r="E23">
        <f>D23-C23</f>
        <v/>
      </c>
    </row>
    <row r="24">
      <c r="A24" t="inlineStr">
        <is>
          <t>5602</t>
        </is>
      </c>
      <c r="B24" s="8" t="inlineStr">
        <is>
          <t>Gasto por Amortización</t>
        </is>
      </c>
      <c r="C24" s="2" t="n">
        <v>10000</v>
      </c>
      <c r="D24" s="3" t="n">
        <v>0</v>
      </c>
      <c r="E24">
        <f>D24-C24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LEYENDA:</t>
        </is>
      </c>
      <c r="B1" s="2" t="n"/>
      <c r="C1" s="3" t="n"/>
      <c r="E1" t="inlineStr"/>
      <c r="F1" t="inlineStr"/>
      <c r="G1" t="inlineStr"/>
      <c r="H1" t="inlineStr"/>
    </row>
    <row r="2">
      <c r="A2" s="4" t="inlineStr">
        <is>
          <t>Activos</t>
        </is>
      </c>
      <c r="B2" s="4" t="inlineStr"/>
      <c r="C2" s="4" t="inlineStr"/>
      <c r="D2" s="4" t="inlineStr"/>
      <c r="E2" s="4" t="inlineStr">
        <is>
          <t>Pasivos y Patrimonio</t>
        </is>
      </c>
      <c r="F2" s="4" t="inlineStr"/>
      <c r="G2" s="4" t="inlineStr"/>
      <c r="H2" s="4" t="inlineStr"/>
    </row>
    <row r="3">
      <c r="A3" s="5" t="inlineStr">
        <is>
          <t>Código</t>
        </is>
      </c>
      <c r="B3" s="5" t="inlineStr">
        <is>
          <t>Nombre</t>
        </is>
      </c>
      <c r="C3" s="5" t="inlineStr">
        <is>
          <t>Debe</t>
        </is>
      </c>
      <c r="D3" s="5" t="inlineStr">
        <is>
          <t>Haber</t>
        </is>
      </c>
      <c r="E3" s="5" t="inlineStr">
        <is>
          <t>Código</t>
        </is>
      </c>
      <c r="F3" s="5" t="inlineStr">
        <is>
          <t>Nombre</t>
        </is>
      </c>
      <c r="G3" s="5" t="inlineStr">
        <is>
          <t>Debe</t>
        </is>
      </c>
      <c r="H3" s="5" t="inlineStr">
        <is>
          <t>Haber</t>
        </is>
      </c>
    </row>
    <row r="4">
      <c r="A4" s="6" t="inlineStr">
        <is>
          <t>Activo Corriente</t>
        </is>
      </c>
      <c r="E4" s="6" t="inlineStr">
        <is>
          <t>Pasivo Corriente</t>
        </is>
      </c>
    </row>
    <row r="5">
      <c r="A5" t="inlineStr">
        <is>
          <t>1101</t>
        </is>
      </c>
      <c r="B5" t="inlineStr">
        <is>
          <t>Caja</t>
        </is>
      </c>
      <c r="C5" s="2" t="n">
        <v>49500</v>
      </c>
      <c r="D5" s="3" t="n">
        <v>0</v>
      </c>
      <c r="E5" t="inlineStr">
        <is>
          <t>2101</t>
        </is>
      </c>
      <c r="F5" t="inlineStr">
        <is>
          <t>Cuentas por Pagar a Proveedores</t>
        </is>
      </c>
      <c r="G5" s="2" t="n">
        <v>0</v>
      </c>
      <c r="H5" s="3" t="n">
        <v>102600</v>
      </c>
    </row>
    <row r="6">
      <c r="A6" t="inlineStr">
        <is>
          <t>1102</t>
        </is>
      </c>
      <c r="B6" t="inlineStr">
        <is>
          <t>Bancos</t>
        </is>
      </c>
      <c r="C6" s="2" t="n">
        <v>143000</v>
      </c>
      <c r="D6" s="3" t="n">
        <v>0</v>
      </c>
      <c r="E6" t="inlineStr">
        <is>
          <t>2102</t>
        </is>
      </c>
      <c r="F6" t="inlineStr">
        <is>
          <t>Otras Cuentas por Pagar / Pasivos Acumulados CP</t>
        </is>
      </c>
      <c r="G6" s="2" t="n">
        <v>0</v>
      </c>
      <c r="H6" s="3" t="n">
        <v>37800</v>
      </c>
    </row>
    <row r="7">
      <c r="A7" t="inlineStr">
        <is>
          <t>1103</t>
        </is>
      </c>
      <c r="B7" t="inlineStr">
        <is>
          <t>Equivalentes de Efectivo / Inversiones a Corto Plazo</t>
        </is>
      </c>
      <c r="C7" s="2" t="n">
        <v>27500</v>
      </c>
      <c r="D7" s="3" t="n">
        <v>0</v>
      </c>
      <c r="E7" t="inlineStr">
        <is>
          <t>2103</t>
        </is>
      </c>
      <c r="F7" t="inlineStr">
        <is>
          <t>Porción Corriente de Préstamos</t>
        </is>
      </c>
      <c r="G7" s="2" t="n">
        <v>0</v>
      </c>
      <c r="H7" s="3" t="n">
        <v>21600</v>
      </c>
    </row>
    <row r="8">
      <c r="A8" t="inlineStr">
        <is>
          <t>1201</t>
        </is>
      </c>
      <c r="B8" t="inlineStr">
        <is>
          <t>Cuentas por Cobrar Comerciales</t>
        </is>
      </c>
      <c r="C8" s="2" t="n">
        <v>88000</v>
      </c>
      <c r="D8" s="3" t="n">
        <v>0</v>
      </c>
      <c r="E8" t="inlineStr">
        <is>
          <t>2104</t>
        </is>
      </c>
      <c r="F8" t="inlineStr">
        <is>
          <t>Documentos por Pagar</t>
        </is>
      </c>
      <c r="G8" s="2" t="n">
        <v>0</v>
      </c>
      <c r="H8" s="3" t="n">
        <v>43200</v>
      </c>
    </row>
    <row r="9">
      <c r="A9" t="inlineStr">
        <is>
          <t>1202</t>
        </is>
      </c>
      <c r="B9" t="inlineStr">
        <is>
          <t>Estimación para Cuentas Incobrables</t>
        </is>
      </c>
      <c r="C9" s="2" t="n">
        <v>0</v>
      </c>
      <c r="D9" s="3" t="n">
        <v>5400</v>
      </c>
      <c r="E9" t="inlineStr">
        <is>
          <t>5701</t>
        </is>
      </c>
      <c r="F9" t="inlineStr">
        <is>
          <t>Pago de Capital de Préstamos / Servicio de Deuda</t>
        </is>
      </c>
      <c r="G9" s="2" t="n">
        <v>0</v>
      </c>
      <c r="H9" s="3" t="n">
        <v>10800</v>
      </c>
    </row>
    <row r="10">
      <c r="A10" t="inlineStr">
        <is>
          <t>1301</t>
        </is>
      </c>
      <c r="B10" t="inlineStr">
        <is>
          <t>Inventarios</t>
        </is>
      </c>
      <c r="C10" s="2" t="n">
        <v>165000</v>
      </c>
      <c r="D10" s="3" t="n">
        <v>0</v>
      </c>
      <c r="E10" s="6" t="inlineStr">
        <is>
          <t>Total Pasivo Corriente</t>
        </is>
      </c>
      <c r="H10" s="7">
        <f>SUM(H5:H9)-SUM(G5:G9)</f>
        <v/>
      </c>
    </row>
    <row r="11">
      <c r="A11" t="inlineStr">
        <is>
          <t>1401</t>
        </is>
      </c>
      <c r="B11" t="inlineStr">
        <is>
          <t>Otros Activos Corrientes</t>
        </is>
      </c>
      <c r="C11" s="2" t="n">
        <v>11000</v>
      </c>
      <c r="D11" s="3" t="n">
        <v>0</v>
      </c>
      <c r="E11" s="6" t="inlineStr">
        <is>
          <t>Pasivo No Corriente</t>
        </is>
      </c>
    </row>
    <row r="12">
      <c r="A12" s="6" t="inlineStr">
        <is>
          <t>Total Activo Corriente</t>
        </is>
      </c>
      <c r="D12" s="7">
        <f>SUM(D5:D11)-SUM(C5:C11)</f>
        <v/>
      </c>
      <c r="E12" t="inlineStr">
        <is>
          <t>2501</t>
        </is>
      </c>
      <c r="F12" t="inlineStr">
        <is>
          <t>Préstamos y Obligaciones a Largo Plazo</t>
        </is>
      </c>
      <c r="G12" s="2" t="n">
        <v>0</v>
      </c>
      <c r="H12" s="3" t="n">
        <v>162000</v>
      </c>
    </row>
    <row r="13">
      <c r="A13" s="6" t="inlineStr">
        <is>
          <t>Activo No Corriente</t>
        </is>
      </c>
      <c r="E13" s="6" t="inlineStr">
        <is>
          <t>Total Pasivo No Corriente</t>
        </is>
      </c>
      <c r="H13" s="7">
        <f>SUM(H12:H12)-SUM(G12:G12)</f>
        <v/>
      </c>
    </row>
    <row r="14">
      <c r="A14" t="inlineStr">
        <is>
          <t>1501</t>
        </is>
      </c>
      <c r="B14" t="inlineStr">
        <is>
          <t>Propiedad, Planta y Equipo - Costo</t>
        </is>
      </c>
      <c r="C14" s="2" t="n">
        <v>600000</v>
      </c>
      <c r="D14" s="3" t="n">
        <v>0</v>
      </c>
      <c r="E14" s="6" t="inlineStr">
        <is>
          <t>Patrimonio</t>
        </is>
      </c>
    </row>
    <row r="15">
      <c r="A15" t="inlineStr">
        <is>
          <t>1502</t>
        </is>
      </c>
      <c r="B15" t="inlineStr">
        <is>
          <t>Depreciación Acumulada de PPE</t>
        </is>
      </c>
      <c r="C15" s="2" t="n">
        <v>0</v>
      </c>
      <c r="D15" s="3" t="n">
        <v>145000</v>
      </c>
      <c r="E15" t="inlineStr">
        <is>
          <t>3101</t>
        </is>
      </c>
      <c r="F15" t="inlineStr">
        <is>
          <t>Capital Social</t>
        </is>
      </c>
      <c r="G15" s="2" t="n">
        <v>0</v>
      </c>
      <c r="H15" s="3" t="n">
        <v>540000</v>
      </c>
    </row>
    <row r="16">
      <c r="A16" t="inlineStr">
        <is>
          <t>1601</t>
        </is>
      </c>
      <c r="B16" t="inlineStr">
        <is>
          <t>Activos Intangibles</t>
        </is>
      </c>
      <c r="C16" s="2" t="n">
        <v>97200</v>
      </c>
      <c r="D16" s="3" t="n">
        <v>0</v>
      </c>
      <c r="E16" t="inlineStr">
        <is>
          <t>3102</t>
        </is>
      </c>
      <c r="F16" t="inlineStr">
        <is>
          <t>Reservas / Otras Cuentas de Patrimonio</t>
        </is>
      </c>
      <c r="G16" s="2" t="n">
        <v>0</v>
      </c>
      <c r="H16" s="3" t="n">
        <v>64800</v>
      </c>
    </row>
    <row r="17">
      <c r="A17" t="inlineStr">
        <is>
          <t>1602</t>
        </is>
      </c>
      <c r="B17" t="inlineStr">
        <is>
          <t>Amortización Acumulada</t>
        </is>
      </c>
      <c r="C17" s="2" t="n">
        <v>0</v>
      </c>
      <c r="D17" s="3" t="n">
        <v>25000</v>
      </c>
      <c r="E17" t="inlineStr">
        <is>
          <t>3103</t>
        </is>
      </c>
      <c r="F17" t="inlineStr">
        <is>
          <t>Utilidades Retenidas / Resultados Acumulados</t>
        </is>
      </c>
      <c r="G17" s="2" t="n">
        <v>0</v>
      </c>
      <c r="H17" s="3" t="n">
        <v>350000</v>
      </c>
    </row>
    <row r="18">
      <c r="A18" t="inlineStr">
        <is>
          <t>1701</t>
        </is>
      </c>
      <c r="B18" t="inlineStr">
        <is>
          <t>Otros Activos No Corrientes</t>
        </is>
      </c>
      <c r="C18" s="2" t="n">
        <v>21600</v>
      </c>
      <c r="D18" s="3" t="n">
        <v>0</v>
      </c>
      <c r="E18" s="6" t="inlineStr">
        <is>
          <t>Total Patrimonio</t>
        </is>
      </c>
      <c r="H18" s="7">
        <f>SUM(H15:H17)-SUM(G15:G17)</f>
        <v/>
      </c>
    </row>
    <row r="19">
      <c r="A19" s="6" t="inlineStr">
        <is>
          <t>Total Activo No Corriente</t>
        </is>
      </c>
      <c r="D19" s="7">
        <f>SUM(D14:D18)-SUM(C14:C18)</f>
        <v/>
      </c>
    </row>
    <row r="20">
      <c r="E20" s="6" t="inlineStr">
        <is>
          <t>Total Pasivos y Patrimonio</t>
        </is>
      </c>
      <c r="H20" s="6">
        <f>H10+H13+H18</f>
        <v/>
      </c>
    </row>
    <row r="21">
      <c r="A21" s="6" t="inlineStr">
        <is>
          <t>Total Activos</t>
        </is>
      </c>
      <c r="D21" s="6">
        <f>D12+D19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LEYENDA:</t>
        </is>
      </c>
      <c r="B1" s="2" t="n"/>
      <c r="C1" s="3" t="n"/>
    </row>
    <row r="2">
      <c r="A2" s="4" t="inlineStr">
        <is>
          <t>Código</t>
        </is>
      </c>
      <c r="B2" s="4" t="inlineStr">
        <is>
          <t>Cuenta</t>
        </is>
      </c>
      <c r="C2" s="4" t="inlineStr">
        <is>
          <t>Debe</t>
        </is>
      </c>
      <c r="D2" s="4" t="inlineStr">
        <is>
          <t>Haber</t>
        </is>
      </c>
      <c r="E2" s="4" t="inlineStr">
        <is>
          <t>Total</t>
        </is>
      </c>
    </row>
    <row r="3">
      <c r="A3" t="inlineStr">
        <is>
          <t>4101</t>
        </is>
      </c>
      <c r="B3" s="8" t="inlineStr">
        <is>
          <t>Ventas</t>
        </is>
      </c>
      <c r="C3" s="2" t="n">
        <v>0</v>
      </c>
      <c r="D3" s="3" t="n">
        <v>1344000</v>
      </c>
      <c r="E3">
        <f>D3-C3</f>
        <v/>
      </c>
    </row>
    <row r="4">
      <c r="A4" t="inlineStr">
        <is>
          <t>4102</t>
        </is>
      </c>
      <c r="B4" s="8" t="inlineStr">
        <is>
          <t>Descuentos sobre Ventas</t>
        </is>
      </c>
      <c r="C4" s="2" t="n">
        <v>32400</v>
      </c>
      <c r="D4" s="3" t="n">
        <v>0</v>
      </c>
      <c r="E4">
        <f>D4-C4</f>
        <v/>
      </c>
    </row>
    <row r="5">
      <c r="A5" t="inlineStr">
        <is>
          <t>4103</t>
        </is>
      </c>
      <c r="B5" s="8" t="inlineStr">
        <is>
          <t>Devoluciones sobre Ventas</t>
        </is>
      </c>
      <c r="C5" s="2" t="n">
        <v>21600</v>
      </c>
      <c r="D5" s="3" t="n">
        <v>0</v>
      </c>
      <c r="E5">
        <f>D5-C5</f>
        <v/>
      </c>
    </row>
    <row r="6">
      <c r="B6" s="6" t="inlineStr">
        <is>
          <t>Ventas Netas</t>
        </is>
      </c>
      <c r="E6" s="7">
        <f>SUM(D3:D5)-SUM(C3:C5)</f>
        <v/>
      </c>
    </row>
    <row r="7">
      <c r="A7" t="inlineStr">
        <is>
          <t>5101</t>
        </is>
      </c>
      <c r="B7" s="8" t="inlineStr">
        <is>
          <t>Costo de Ventas</t>
        </is>
      </c>
      <c r="C7" s="2" t="n">
        <v>715000</v>
      </c>
      <c r="D7" s="3" t="n">
        <v>0</v>
      </c>
      <c r="E7">
        <f>D7-C7</f>
        <v/>
      </c>
    </row>
    <row r="8">
      <c r="A8" t="inlineStr">
        <is>
          <t>5102</t>
        </is>
      </c>
      <c r="B8" s="8" t="inlineStr">
        <is>
          <t>Devoluciones sobre Compras</t>
        </is>
      </c>
      <c r="C8" s="2" t="n">
        <v>10800</v>
      </c>
      <c r="D8" s="3" t="n">
        <v>0</v>
      </c>
      <c r="E8">
        <f>D8-C8</f>
        <v/>
      </c>
    </row>
    <row r="9">
      <c r="B9" s="6" t="inlineStr">
        <is>
          <t>Costo Neto de Ventas</t>
        </is>
      </c>
      <c r="E9" s="7">
        <f>SUM(D7:D8)-SUM(C7:C8)</f>
        <v/>
      </c>
    </row>
    <row r="10">
      <c r="A10" t="inlineStr">
        <is>
          <t>5201</t>
        </is>
      </c>
      <c r="B10" s="8" t="inlineStr">
        <is>
          <t>Gastos Operativos / Administración</t>
        </is>
      </c>
      <c r="C10" s="2" t="n">
        <v>132000</v>
      </c>
      <c r="D10" s="3" t="n">
        <v>0</v>
      </c>
      <c r="E10">
        <f>D10-C10</f>
        <v/>
      </c>
    </row>
    <row r="11">
      <c r="A11" t="inlineStr">
        <is>
          <t>5202</t>
        </is>
      </c>
      <c r="B11" s="8" t="inlineStr">
        <is>
          <t>Gastos de Venta</t>
        </is>
      </c>
      <c r="C11" s="2" t="n">
        <v>88000</v>
      </c>
      <c r="D11" s="3" t="n">
        <v>0</v>
      </c>
      <c r="E11">
        <f>D11-C11</f>
        <v/>
      </c>
    </row>
    <row r="12">
      <c r="A12" t="inlineStr">
        <is>
          <t>5203</t>
        </is>
      </c>
      <c r="B12" s="8" t="inlineStr">
        <is>
          <t>Gastos Generales</t>
        </is>
      </c>
      <c r="C12" s="2" t="n">
        <v>44000</v>
      </c>
      <c r="D12" s="3" t="n">
        <v>0</v>
      </c>
      <c r="E12">
        <f>D12-C12</f>
        <v/>
      </c>
    </row>
    <row r="13">
      <c r="B13" s="6" t="inlineStr">
        <is>
          <t>Gastos Operativos</t>
        </is>
      </c>
      <c r="E13" s="7">
        <f>SUM(D10:D12)-SUM(C10:C12)</f>
        <v/>
      </c>
    </row>
    <row r="14">
      <c r="A14" t="inlineStr">
        <is>
          <t>4301</t>
        </is>
      </c>
      <c r="B14" s="8" t="inlineStr">
        <is>
          <t>Otros Ingresos</t>
        </is>
      </c>
      <c r="C14" s="2" t="n">
        <v>0</v>
      </c>
      <c r="D14" s="3" t="n">
        <v>27000</v>
      </c>
      <c r="E14">
        <f>D14-C14</f>
        <v/>
      </c>
    </row>
    <row r="15">
      <c r="B15" s="6" t="inlineStr">
        <is>
          <t>Otros Ingresos</t>
        </is>
      </c>
      <c r="E15" s="7">
        <f>SUM(D14:D14)-SUM(C14:C14)</f>
        <v/>
      </c>
    </row>
    <row r="16">
      <c r="A16" t="inlineStr">
        <is>
          <t>5301</t>
        </is>
      </c>
      <c r="B16" s="8" t="inlineStr">
        <is>
          <t>Otros Gastos</t>
        </is>
      </c>
      <c r="C16" s="2" t="n">
        <v>16500</v>
      </c>
      <c r="D16" s="3" t="n">
        <v>0</v>
      </c>
      <c r="E16">
        <f>D16-C16</f>
        <v/>
      </c>
    </row>
    <row r="17">
      <c r="B17" s="6" t="inlineStr">
        <is>
          <t>Otros Gastos</t>
        </is>
      </c>
      <c r="E17" s="7">
        <f>SUM(D16:D16)-SUM(C16:C16)</f>
        <v/>
      </c>
    </row>
    <row r="18">
      <c r="A18" t="inlineStr">
        <is>
          <t>5401</t>
        </is>
      </c>
      <c r="B18" s="8" t="inlineStr">
        <is>
          <t>Gasto Financiero / Intereses</t>
        </is>
      </c>
      <c r="C18" s="2" t="n">
        <v>13200</v>
      </c>
      <c r="D18" s="3" t="n">
        <v>0</v>
      </c>
      <c r="E18">
        <f>D18-C18</f>
        <v/>
      </c>
    </row>
    <row r="19">
      <c r="B19" s="6" t="inlineStr">
        <is>
          <t>Gasto Financiero</t>
        </is>
      </c>
      <c r="E19" s="7">
        <f>SUM(D18:D18)-SUM(C18:C18)</f>
        <v/>
      </c>
    </row>
    <row r="20">
      <c r="A20" t="inlineStr">
        <is>
          <t>5501</t>
        </is>
      </c>
      <c r="B20" s="8" t="inlineStr">
        <is>
          <t>Impuesto sobre la Renta</t>
        </is>
      </c>
      <c r="C20" s="2" t="n">
        <v>0</v>
      </c>
      <c r="D20" s="3" t="n">
        <v>54000</v>
      </c>
      <c r="E20">
        <f>D20-C20</f>
        <v/>
      </c>
    </row>
    <row r="21">
      <c r="B21" s="6" t="inlineStr">
        <is>
          <t>Impuesto sobre la Renta</t>
        </is>
      </c>
      <c r="E21" s="7">
        <f>SUM(D20:D20)-SUM(C20:C20)</f>
        <v/>
      </c>
    </row>
    <row r="22">
      <c r="A22" t="inlineStr">
        <is>
          <t>5103</t>
        </is>
      </c>
      <c r="B22" s="8" t="inlineStr">
        <is>
          <t>Compras de Mercancías</t>
        </is>
      </c>
      <c r="C22" s="2" t="n">
        <v>648000</v>
      </c>
      <c r="D22" s="3" t="n">
        <v>0</v>
      </c>
      <c r="E22">
        <f>D22-C22</f>
        <v/>
      </c>
    </row>
    <row r="23">
      <c r="A23" t="inlineStr">
        <is>
          <t>5601</t>
        </is>
      </c>
      <c r="B23" s="8" t="inlineStr">
        <is>
          <t>Gasto por Depreciación</t>
        </is>
      </c>
      <c r="C23" s="2" t="n">
        <v>25000</v>
      </c>
      <c r="D23" s="3" t="n">
        <v>0</v>
      </c>
      <c r="E23">
        <f>D23-C23</f>
        <v/>
      </c>
    </row>
    <row r="24">
      <c r="A24" t="inlineStr">
        <is>
          <t>5602</t>
        </is>
      </c>
      <c r="B24" s="8" t="inlineStr">
        <is>
          <t>Gasto por Amortización</t>
        </is>
      </c>
      <c r="C24" s="2" t="n">
        <v>10000</v>
      </c>
      <c r="D24" s="3" t="n">
        <v>0</v>
      </c>
      <c r="E24">
        <f>D24-C24</f>
        <v/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LEYENDA:</t>
        </is>
      </c>
      <c r="B1" s="2" t="n"/>
      <c r="C1" s="3" t="n"/>
      <c r="E1" t="inlineStr"/>
      <c r="F1" t="inlineStr"/>
      <c r="G1" t="inlineStr"/>
      <c r="H1" t="inlineStr"/>
    </row>
    <row r="2">
      <c r="A2" s="4" t="inlineStr">
        <is>
          <t>Activos</t>
        </is>
      </c>
      <c r="B2" s="4" t="inlineStr"/>
      <c r="C2" s="4" t="inlineStr"/>
      <c r="D2" s="4" t="inlineStr"/>
      <c r="E2" s="4" t="inlineStr">
        <is>
          <t>Pasivos y Patrimonio</t>
        </is>
      </c>
      <c r="F2" s="4" t="inlineStr"/>
      <c r="G2" s="4" t="inlineStr"/>
      <c r="H2" s="4" t="inlineStr"/>
    </row>
    <row r="3">
      <c r="A3" s="5" t="inlineStr">
        <is>
          <t>Código</t>
        </is>
      </c>
      <c r="B3" s="5" t="inlineStr">
        <is>
          <t>Nombre</t>
        </is>
      </c>
      <c r="C3" s="5" t="inlineStr">
        <is>
          <t>Debe</t>
        </is>
      </c>
      <c r="D3" s="5" t="inlineStr">
        <is>
          <t>Haber</t>
        </is>
      </c>
      <c r="E3" s="5" t="inlineStr">
        <is>
          <t>Código</t>
        </is>
      </c>
      <c r="F3" s="5" t="inlineStr">
        <is>
          <t>Nombre</t>
        </is>
      </c>
      <c r="G3" s="5" t="inlineStr">
        <is>
          <t>Debe</t>
        </is>
      </c>
      <c r="H3" s="5" t="inlineStr">
        <is>
          <t>Haber</t>
        </is>
      </c>
    </row>
    <row r="4">
      <c r="A4" s="6" t="inlineStr">
        <is>
          <t>Activo Corriente</t>
        </is>
      </c>
      <c r="E4" s="6" t="inlineStr">
        <is>
          <t>Pasivo Corriente</t>
        </is>
      </c>
    </row>
    <row r="5">
      <c r="A5" t="inlineStr">
        <is>
          <t>1101</t>
        </is>
      </c>
      <c r="B5" t="inlineStr">
        <is>
          <t>Caja</t>
        </is>
      </c>
      <c r="C5" s="2" t="n">
        <v>54450</v>
      </c>
      <c r="D5" s="3" t="n">
        <v>0</v>
      </c>
      <c r="E5" t="inlineStr">
        <is>
          <t>2101</t>
        </is>
      </c>
      <c r="F5" t="inlineStr">
        <is>
          <t>Cuentas por Pagar a Proveedores</t>
        </is>
      </c>
      <c r="G5" s="2" t="n">
        <v>0</v>
      </c>
      <c r="H5" s="3" t="n">
        <v>110808</v>
      </c>
    </row>
    <row r="6">
      <c r="A6" t="inlineStr">
        <is>
          <t>1102</t>
        </is>
      </c>
      <c r="B6" t="inlineStr">
        <is>
          <t>Bancos</t>
        </is>
      </c>
      <c r="C6" s="2" t="n">
        <v>157300</v>
      </c>
      <c r="D6" s="3" t="n">
        <v>0</v>
      </c>
      <c r="E6" t="inlineStr">
        <is>
          <t>2102</t>
        </is>
      </c>
      <c r="F6" t="inlineStr">
        <is>
          <t>Otras Cuentas por Pagar / Pasivos Acumulados CP</t>
        </is>
      </c>
      <c r="G6" s="2" t="n">
        <v>0</v>
      </c>
      <c r="H6" s="3" t="n">
        <v>40824</v>
      </c>
    </row>
    <row r="7">
      <c r="A7" t="inlineStr">
        <is>
          <t>1103</t>
        </is>
      </c>
      <c r="B7" t="inlineStr">
        <is>
          <t>Equivalentes de Efectivo / Inversiones a Corto Plazo</t>
        </is>
      </c>
      <c r="C7" s="2" t="n">
        <v>30250</v>
      </c>
      <c r="D7" s="3" t="n">
        <v>0</v>
      </c>
      <c r="E7" t="inlineStr">
        <is>
          <t>2103</t>
        </is>
      </c>
      <c r="F7" t="inlineStr">
        <is>
          <t>Porción Corriente de Préstamos</t>
        </is>
      </c>
      <c r="G7" s="2" t="n">
        <v>0</v>
      </c>
      <c r="H7" s="3" t="n">
        <v>23328</v>
      </c>
    </row>
    <row r="8">
      <c r="A8" t="inlineStr">
        <is>
          <t>1201</t>
        </is>
      </c>
      <c r="B8" t="inlineStr">
        <is>
          <t>Cuentas por Cobrar Comerciales</t>
        </is>
      </c>
      <c r="C8" s="2" t="n">
        <v>96800</v>
      </c>
      <c r="D8" s="3" t="n">
        <v>0</v>
      </c>
      <c r="E8" t="inlineStr">
        <is>
          <t>2104</t>
        </is>
      </c>
      <c r="F8" t="inlineStr">
        <is>
          <t>Documentos por Pagar</t>
        </is>
      </c>
      <c r="G8" s="2" t="n">
        <v>0</v>
      </c>
      <c r="H8" s="3" t="n">
        <v>46656</v>
      </c>
    </row>
    <row r="9">
      <c r="A9" t="inlineStr">
        <is>
          <t>1202</t>
        </is>
      </c>
      <c r="B9" t="inlineStr">
        <is>
          <t>Estimación para Cuentas Incobrables</t>
        </is>
      </c>
      <c r="C9" s="2" t="n">
        <v>0</v>
      </c>
      <c r="D9" s="3" t="n">
        <v>5832</v>
      </c>
      <c r="E9" t="inlineStr">
        <is>
          <t>5701</t>
        </is>
      </c>
      <c r="F9" t="inlineStr">
        <is>
          <t>Pago de Capital de Préstamos / Servicio de Deuda</t>
        </is>
      </c>
      <c r="G9" s="2" t="n">
        <v>0</v>
      </c>
      <c r="H9" s="3" t="n">
        <v>11664</v>
      </c>
    </row>
    <row r="10">
      <c r="A10" t="inlineStr">
        <is>
          <t>1301</t>
        </is>
      </c>
      <c r="B10" t="inlineStr">
        <is>
          <t>Inventarios</t>
        </is>
      </c>
      <c r="C10" s="2" t="n">
        <v>181500</v>
      </c>
      <c r="D10" s="3" t="n">
        <v>0</v>
      </c>
      <c r="E10" s="6" t="inlineStr">
        <is>
          <t>Total Pasivo Corriente</t>
        </is>
      </c>
      <c r="H10" s="7">
        <f>SUM(H5:H9)-SUM(G5:G9)</f>
        <v/>
      </c>
    </row>
    <row r="11">
      <c r="A11" t="inlineStr">
        <is>
          <t>1401</t>
        </is>
      </c>
      <c r="B11" t="inlineStr">
        <is>
          <t>Otros Activos Corrientes</t>
        </is>
      </c>
      <c r="C11" s="2" t="n">
        <v>12100</v>
      </c>
      <c r="D11" s="3" t="n">
        <v>0</v>
      </c>
      <c r="E11" s="6" t="inlineStr">
        <is>
          <t>Pasivo No Corriente</t>
        </is>
      </c>
    </row>
    <row r="12">
      <c r="A12" s="6" t="inlineStr">
        <is>
          <t>Total Activo Corriente</t>
        </is>
      </c>
      <c r="D12" s="7">
        <f>SUM(D5:D11)-SUM(C5:C11)</f>
        <v/>
      </c>
      <c r="E12" t="inlineStr">
        <is>
          <t>2501</t>
        </is>
      </c>
      <c r="F12" t="inlineStr">
        <is>
          <t>Préstamos y Obligaciones a Largo Plazo</t>
        </is>
      </c>
      <c r="G12" s="2" t="n">
        <v>0</v>
      </c>
      <c r="H12" s="3" t="n">
        <v>174960</v>
      </c>
    </row>
    <row r="13">
      <c r="A13" s="6" t="inlineStr">
        <is>
          <t>Activo No Corriente</t>
        </is>
      </c>
      <c r="E13" s="6" t="inlineStr">
        <is>
          <t>Total Pasivo No Corriente</t>
        </is>
      </c>
      <c r="H13" s="7">
        <f>SUM(H12:H12)-SUM(G12:G12)</f>
        <v/>
      </c>
    </row>
    <row r="14">
      <c r="A14" t="inlineStr">
        <is>
          <t>1501</t>
        </is>
      </c>
      <c r="B14" t="inlineStr">
        <is>
          <t>Propiedad, Planta y Equipo - Costo</t>
        </is>
      </c>
      <c r="C14" s="2" t="n">
        <v>661500</v>
      </c>
      <c r="D14" s="3" t="n">
        <v>0</v>
      </c>
      <c r="E14" s="6" t="inlineStr">
        <is>
          <t>Patrimonio</t>
        </is>
      </c>
    </row>
    <row r="15">
      <c r="A15" t="inlineStr">
        <is>
          <t>1502</t>
        </is>
      </c>
      <c r="B15" t="inlineStr">
        <is>
          <t>Depreciación Acumulada de PPE</t>
        </is>
      </c>
      <c r="C15" s="2" t="n">
        <v>0</v>
      </c>
      <c r="D15" s="3" t="n">
        <v>170000</v>
      </c>
      <c r="E15" t="inlineStr">
        <is>
          <t>3101</t>
        </is>
      </c>
      <c r="F15" t="inlineStr">
        <is>
          <t>Capital Social</t>
        </is>
      </c>
      <c r="G15" s="2" t="n">
        <v>0</v>
      </c>
      <c r="H15" s="3" t="n">
        <v>583200</v>
      </c>
    </row>
    <row r="16">
      <c r="A16" t="inlineStr">
        <is>
          <t>1601</t>
        </is>
      </c>
      <c r="B16" t="inlineStr">
        <is>
          <t>Activos Intangibles</t>
        </is>
      </c>
      <c r="C16" s="2" t="n">
        <v>104976</v>
      </c>
      <c r="D16" s="3" t="n">
        <v>0</v>
      </c>
      <c r="E16" t="inlineStr">
        <is>
          <t>3102</t>
        </is>
      </c>
      <c r="F16" t="inlineStr">
        <is>
          <t>Reservas / Otras Cuentas de Patrimonio</t>
        </is>
      </c>
      <c r="G16" s="2" t="n">
        <v>0</v>
      </c>
      <c r="H16" s="3" t="n">
        <v>69984</v>
      </c>
    </row>
    <row r="17">
      <c r="A17" t="inlineStr">
        <is>
          <t>1602</t>
        </is>
      </c>
      <c r="B17" t="inlineStr">
        <is>
          <t>Amortización Acumulada</t>
        </is>
      </c>
      <c r="C17" s="2" t="n">
        <v>0</v>
      </c>
      <c r="D17" s="3" t="n">
        <v>35000</v>
      </c>
      <c r="E17" t="inlineStr">
        <is>
          <t>3103</t>
        </is>
      </c>
      <c r="F17" t="inlineStr">
        <is>
          <t>Utilidades Retenidas / Resultados Acumulados</t>
        </is>
      </c>
      <c r="G17" s="2" t="n">
        <v>0</v>
      </c>
      <c r="H17" s="3" t="n">
        <v>600000</v>
      </c>
    </row>
    <row r="18">
      <c r="A18" t="inlineStr">
        <is>
          <t>1701</t>
        </is>
      </c>
      <c r="B18" t="inlineStr">
        <is>
          <t>Otros Activos No Corrientes</t>
        </is>
      </c>
      <c r="C18" s="2" t="n">
        <v>23328</v>
      </c>
      <c r="D18" s="3" t="n">
        <v>0</v>
      </c>
      <c r="E18" s="6" t="inlineStr">
        <is>
          <t>Total Patrimonio</t>
        </is>
      </c>
      <c r="H18" s="7">
        <f>SUM(H15:H17)-SUM(G15:G17)</f>
        <v/>
      </c>
    </row>
    <row r="19">
      <c r="A19" s="6" t="inlineStr">
        <is>
          <t>Total Activo No Corriente</t>
        </is>
      </c>
      <c r="D19" s="7">
        <f>SUM(D14:D18)-SUM(C14:C18)</f>
        <v/>
      </c>
    </row>
    <row r="20">
      <c r="E20" s="6" t="inlineStr">
        <is>
          <t>Total Pasivos y Patrimonio</t>
        </is>
      </c>
      <c r="H20" s="6">
        <f>H10+H13+H18</f>
        <v/>
      </c>
    </row>
    <row r="21">
      <c r="A21" s="6" t="inlineStr">
        <is>
          <t>Total Activos</t>
        </is>
      </c>
      <c r="D21" s="6">
        <f>D12+D19</f>
        <v/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LEYENDA:</t>
        </is>
      </c>
      <c r="B1" s="2" t="n"/>
      <c r="C1" s="3" t="n"/>
    </row>
    <row r="2">
      <c r="A2" s="4" t="inlineStr">
        <is>
          <t>Código</t>
        </is>
      </c>
      <c r="B2" s="4" t="inlineStr">
        <is>
          <t>Cuenta</t>
        </is>
      </c>
      <c r="C2" s="4" t="inlineStr">
        <is>
          <t>Debe</t>
        </is>
      </c>
      <c r="D2" s="4" t="inlineStr">
        <is>
          <t>Haber</t>
        </is>
      </c>
      <c r="E2" s="4" t="inlineStr">
        <is>
          <t>Total</t>
        </is>
      </c>
    </row>
    <row r="3">
      <c r="A3" t="inlineStr">
        <is>
          <t>4101</t>
        </is>
      </c>
      <c r="B3" s="8" t="inlineStr">
        <is>
          <t>Ventas</t>
        </is>
      </c>
      <c r="C3" s="2" t="n">
        <v>0</v>
      </c>
      <c r="D3" s="3" t="n">
        <v>1505280</v>
      </c>
      <c r="E3">
        <f>D3-C3</f>
        <v/>
      </c>
    </row>
    <row r="4">
      <c r="A4" t="inlineStr">
        <is>
          <t>4102</t>
        </is>
      </c>
      <c r="B4" s="8" t="inlineStr">
        <is>
          <t>Descuentos sobre Ventas</t>
        </is>
      </c>
      <c r="C4" s="2" t="n">
        <v>34992</v>
      </c>
      <c r="D4" s="3" t="n">
        <v>0</v>
      </c>
      <c r="E4">
        <f>D4-C4</f>
        <v/>
      </c>
    </row>
    <row r="5">
      <c r="A5" t="inlineStr">
        <is>
          <t>4103</t>
        </is>
      </c>
      <c r="B5" s="8" t="inlineStr">
        <is>
          <t>Devoluciones sobre Ventas</t>
        </is>
      </c>
      <c r="C5" s="2" t="n">
        <v>23328</v>
      </c>
      <c r="D5" s="3" t="n">
        <v>0</v>
      </c>
      <c r="E5">
        <f>D5-C5</f>
        <v/>
      </c>
    </row>
    <row r="6">
      <c r="B6" s="6" t="inlineStr">
        <is>
          <t>Ventas Netas</t>
        </is>
      </c>
      <c r="E6" s="7">
        <f>SUM(D3:D5)-SUM(C3:C5)</f>
        <v/>
      </c>
    </row>
    <row r="7">
      <c r="A7" t="inlineStr">
        <is>
          <t>5101</t>
        </is>
      </c>
      <c r="B7" s="8" t="inlineStr">
        <is>
          <t>Costo de Ventas</t>
        </is>
      </c>
      <c r="C7" s="2" t="n">
        <v>786500</v>
      </c>
      <c r="D7" s="3" t="n">
        <v>0</v>
      </c>
      <c r="E7">
        <f>D7-C7</f>
        <v/>
      </c>
    </row>
    <row r="8">
      <c r="A8" t="inlineStr">
        <is>
          <t>5102</t>
        </is>
      </c>
      <c r="B8" s="8" t="inlineStr">
        <is>
          <t>Devoluciones sobre Compras</t>
        </is>
      </c>
      <c r="C8" s="2" t="n">
        <v>11664</v>
      </c>
      <c r="D8" s="3" t="n">
        <v>0</v>
      </c>
      <c r="E8">
        <f>D8-C8</f>
        <v/>
      </c>
    </row>
    <row r="9">
      <c r="B9" s="6" t="inlineStr">
        <is>
          <t>Costo Neto de Ventas</t>
        </is>
      </c>
      <c r="E9" s="7">
        <f>SUM(D7:D8)-SUM(C7:C8)</f>
        <v/>
      </c>
    </row>
    <row r="10">
      <c r="A10" t="inlineStr">
        <is>
          <t>5201</t>
        </is>
      </c>
      <c r="B10" s="8" t="inlineStr">
        <is>
          <t>Gastos Operativos / Administración</t>
        </is>
      </c>
      <c r="C10" s="2" t="n">
        <v>145200</v>
      </c>
      <c r="D10" s="3" t="n">
        <v>0</v>
      </c>
      <c r="E10">
        <f>D10-C10</f>
        <v/>
      </c>
    </row>
    <row r="11">
      <c r="A11" t="inlineStr">
        <is>
          <t>5202</t>
        </is>
      </c>
      <c r="B11" s="8" t="inlineStr">
        <is>
          <t>Gastos de Venta</t>
        </is>
      </c>
      <c r="C11" s="2" t="n">
        <v>96800</v>
      </c>
      <c r="D11" s="3" t="n">
        <v>0</v>
      </c>
      <c r="E11">
        <f>D11-C11</f>
        <v/>
      </c>
    </row>
    <row r="12">
      <c r="A12" t="inlineStr">
        <is>
          <t>5203</t>
        </is>
      </c>
      <c r="B12" s="8" t="inlineStr">
        <is>
          <t>Gastos Generales</t>
        </is>
      </c>
      <c r="C12" s="2" t="n">
        <v>48400</v>
      </c>
      <c r="D12" s="3" t="n">
        <v>0</v>
      </c>
      <c r="E12">
        <f>D12-C12</f>
        <v/>
      </c>
    </row>
    <row r="13">
      <c r="B13" s="6" t="inlineStr">
        <is>
          <t>Gastos Operativos</t>
        </is>
      </c>
      <c r="E13" s="7">
        <f>SUM(D10:D12)-SUM(C10:C12)</f>
        <v/>
      </c>
    </row>
    <row r="14">
      <c r="A14" t="inlineStr">
        <is>
          <t>4301</t>
        </is>
      </c>
      <c r="B14" s="8" t="inlineStr">
        <is>
          <t>Otros Ingresos</t>
        </is>
      </c>
      <c r="C14" s="2" t="n">
        <v>0</v>
      </c>
      <c r="D14" s="3" t="n">
        <v>29160</v>
      </c>
      <c r="E14">
        <f>D14-C14</f>
        <v/>
      </c>
    </row>
    <row r="15">
      <c r="B15" s="6" t="inlineStr">
        <is>
          <t>Otros Ingresos</t>
        </is>
      </c>
      <c r="E15" s="7">
        <f>SUM(D14:D14)-SUM(C14:C14)</f>
        <v/>
      </c>
    </row>
    <row r="16">
      <c r="A16" t="inlineStr">
        <is>
          <t>5301</t>
        </is>
      </c>
      <c r="B16" s="8" t="inlineStr">
        <is>
          <t>Otros Gastos</t>
        </is>
      </c>
      <c r="C16" s="2" t="n">
        <v>18150</v>
      </c>
      <c r="D16" s="3" t="n">
        <v>0</v>
      </c>
      <c r="E16">
        <f>D16-C16</f>
        <v/>
      </c>
    </row>
    <row r="17">
      <c r="B17" s="6" t="inlineStr">
        <is>
          <t>Otros Gastos</t>
        </is>
      </c>
      <c r="E17" s="7">
        <f>SUM(D16:D16)-SUM(C16:C16)</f>
        <v/>
      </c>
    </row>
    <row r="18">
      <c r="A18" t="inlineStr">
        <is>
          <t>5401</t>
        </is>
      </c>
      <c r="B18" s="8" t="inlineStr">
        <is>
          <t>Gasto Financiero / Intereses</t>
        </is>
      </c>
      <c r="C18" s="2" t="n">
        <v>14520</v>
      </c>
      <c r="D18" s="3" t="n">
        <v>0</v>
      </c>
      <c r="E18">
        <f>D18-C18</f>
        <v/>
      </c>
    </row>
    <row r="19">
      <c r="B19" s="6" t="inlineStr">
        <is>
          <t>Gasto Financiero</t>
        </is>
      </c>
      <c r="E19" s="7">
        <f>SUM(D18:D18)-SUM(C18:C18)</f>
        <v/>
      </c>
    </row>
    <row r="20">
      <c r="A20" t="inlineStr">
        <is>
          <t>5501</t>
        </is>
      </c>
      <c r="B20" s="8" t="inlineStr">
        <is>
          <t>Impuesto sobre la Renta</t>
        </is>
      </c>
      <c r="C20" s="2" t="n">
        <v>0</v>
      </c>
      <c r="D20" s="3" t="n">
        <v>58320</v>
      </c>
      <c r="E20">
        <f>D20-C20</f>
        <v/>
      </c>
    </row>
    <row r="21">
      <c r="B21" s="6" t="inlineStr">
        <is>
          <t>Impuesto sobre la Renta</t>
        </is>
      </c>
      <c r="E21" s="7">
        <f>SUM(D20:D20)-SUM(C20:C20)</f>
        <v/>
      </c>
    </row>
    <row r="22">
      <c r="A22" t="inlineStr">
        <is>
          <t>5103</t>
        </is>
      </c>
      <c r="B22" s="8" t="inlineStr">
        <is>
          <t>Compras de Mercancías</t>
        </is>
      </c>
      <c r="C22" s="2" t="n">
        <v>699840</v>
      </c>
      <c r="D22" s="3" t="n">
        <v>0</v>
      </c>
      <c r="E22">
        <f>D22-C22</f>
        <v/>
      </c>
    </row>
    <row r="23">
      <c r="A23" t="inlineStr">
        <is>
          <t>5601</t>
        </is>
      </c>
      <c r="B23" s="8" t="inlineStr">
        <is>
          <t>Gasto por Depreciación</t>
        </is>
      </c>
      <c r="C23" s="2" t="n">
        <v>25000</v>
      </c>
      <c r="D23" s="3" t="n">
        <v>0</v>
      </c>
      <c r="E23">
        <f>D23-C23</f>
        <v/>
      </c>
    </row>
    <row r="24">
      <c r="A24" t="inlineStr">
        <is>
          <t>5602</t>
        </is>
      </c>
      <c r="B24" s="8" t="inlineStr">
        <is>
          <t>Gasto por Amortización</t>
        </is>
      </c>
      <c r="C24" s="2" t="n">
        <v>10000</v>
      </c>
      <c r="D24" s="3" t="n">
        <v>0</v>
      </c>
      <c r="E24">
        <f>D24-C24</f>
        <v/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LEYENDA:</t>
        </is>
      </c>
      <c r="B1" s="2" t="n"/>
      <c r="C1" s="3" t="n"/>
      <c r="E1" t="inlineStr"/>
      <c r="F1" t="inlineStr"/>
      <c r="G1" t="inlineStr"/>
      <c r="H1" t="inlineStr"/>
    </row>
    <row r="2">
      <c r="A2" s="4" t="inlineStr">
        <is>
          <t>Activos</t>
        </is>
      </c>
      <c r="B2" s="4" t="inlineStr"/>
      <c r="C2" s="4" t="inlineStr"/>
      <c r="D2" s="4" t="inlineStr"/>
      <c r="E2" s="4" t="inlineStr">
        <is>
          <t>Pasivos y Patrimonio</t>
        </is>
      </c>
      <c r="F2" s="4" t="inlineStr"/>
      <c r="G2" s="4" t="inlineStr"/>
      <c r="H2" s="4" t="inlineStr"/>
    </row>
    <row r="3">
      <c r="A3" s="5" t="inlineStr">
        <is>
          <t>Código</t>
        </is>
      </c>
      <c r="B3" s="5" t="inlineStr">
        <is>
          <t>Nombre</t>
        </is>
      </c>
      <c r="C3" s="5" t="inlineStr">
        <is>
          <t>Debe</t>
        </is>
      </c>
      <c r="D3" s="5" t="inlineStr">
        <is>
          <t>Haber</t>
        </is>
      </c>
      <c r="E3" s="5" t="inlineStr">
        <is>
          <t>Código</t>
        </is>
      </c>
      <c r="F3" s="5" t="inlineStr">
        <is>
          <t>Nombre</t>
        </is>
      </c>
      <c r="G3" s="5" t="inlineStr">
        <is>
          <t>Debe</t>
        </is>
      </c>
      <c r="H3" s="5" t="inlineStr">
        <is>
          <t>Haber</t>
        </is>
      </c>
    </row>
    <row r="4">
      <c r="A4" s="6" t="inlineStr">
        <is>
          <t>Activo Corriente</t>
        </is>
      </c>
      <c r="E4" s="6" t="inlineStr">
        <is>
          <t>Pasivo Corriente</t>
        </is>
      </c>
    </row>
    <row r="5">
      <c r="A5" t="inlineStr">
        <is>
          <t>1101</t>
        </is>
      </c>
      <c r="B5" t="inlineStr">
        <is>
          <t>Caja</t>
        </is>
      </c>
      <c r="C5" s="2" t="n">
        <v>59895</v>
      </c>
      <c r="D5" s="3" t="n">
        <v>0</v>
      </c>
      <c r="E5" t="inlineStr">
        <is>
          <t>2101</t>
        </is>
      </c>
      <c r="F5" t="inlineStr">
        <is>
          <t>Cuentas por Pagar a Proveedores</t>
        </is>
      </c>
      <c r="G5" s="2" t="n">
        <v>0</v>
      </c>
      <c r="H5" s="3" t="n">
        <v>119672</v>
      </c>
    </row>
    <row r="6">
      <c r="A6" t="inlineStr">
        <is>
          <t>1102</t>
        </is>
      </c>
      <c r="B6" t="inlineStr">
        <is>
          <t>Bancos</t>
        </is>
      </c>
      <c r="C6" s="2" t="n">
        <v>173030</v>
      </c>
      <c r="D6" s="3" t="n">
        <v>0</v>
      </c>
      <c r="E6" t="inlineStr">
        <is>
          <t>2102</t>
        </is>
      </c>
      <c r="F6" t="inlineStr">
        <is>
          <t>Otras Cuentas por Pagar / Pasivos Acumulados CP</t>
        </is>
      </c>
      <c r="G6" s="2" t="n">
        <v>0</v>
      </c>
      <c r="H6" s="3" t="n">
        <v>44089</v>
      </c>
    </row>
    <row r="7">
      <c r="A7" t="inlineStr">
        <is>
          <t>1103</t>
        </is>
      </c>
      <c r="B7" t="inlineStr">
        <is>
          <t>Equivalentes de Efectivo / Inversiones a Corto Plazo</t>
        </is>
      </c>
      <c r="C7" s="2" t="n">
        <v>33275</v>
      </c>
      <c r="D7" s="3" t="n">
        <v>0</v>
      </c>
      <c r="E7" t="inlineStr">
        <is>
          <t>2103</t>
        </is>
      </c>
      <c r="F7" t="inlineStr">
        <is>
          <t>Porción Corriente de Préstamos</t>
        </is>
      </c>
      <c r="G7" s="2" t="n">
        <v>0</v>
      </c>
      <c r="H7" s="3" t="n">
        <v>25194</v>
      </c>
    </row>
    <row r="8">
      <c r="A8" t="inlineStr">
        <is>
          <t>1201</t>
        </is>
      </c>
      <c r="B8" t="inlineStr">
        <is>
          <t>Cuentas por Cobrar Comerciales</t>
        </is>
      </c>
      <c r="C8" s="2" t="n">
        <v>106480</v>
      </c>
      <c r="D8" s="3" t="n">
        <v>0</v>
      </c>
      <c r="E8" t="inlineStr">
        <is>
          <t>2104</t>
        </is>
      </c>
      <c r="F8" t="inlineStr">
        <is>
          <t>Documentos por Pagar</t>
        </is>
      </c>
      <c r="G8" s="2" t="n">
        <v>0</v>
      </c>
      <c r="H8" s="3" t="n">
        <v>50388</v>
      </c>
    </row>
    <row r="9">
      <c r="A9" t="inlineStr">
        <is>
          <t>1202</t>
        </is>
      </c>
      <c r="B9" t="inlineStr">
        <is>
          <t>Estimación para Cuentas Incobrables</t>
        </is>
      </c>
      <c r="C9" s="2" t="n">
        <v>0</v>
      </c>
      <c r="D9" s="3" t="n">
        <v>6298</v>
      </c>
      <c r="E9" t="inlineStr">
        <is>
          <t>5701</t>
        </is>
      </c>
      <c r="F9" t="inlineStr">
        <is>
          <t>Pago de Capital de Préstamos / Servicio de Deuda</t>
        </is>
      </c>
      <c r="G9" s="2" t="n">
        <v>0</v>
      </c>
      <c r="H9" s="3" t="n">
        <v>12597</v>
      </c>
    </row>
    <row r="10">
      <c r="A10" t="inlineStr">
        <is>
          <t>1301</t>
        </is>
      </c>
      <c r="B10" t="inlineStr">
        <is>
          <t>Inventarios</t>
        </is>
      </c>
      <c r="C10" s="2" t="n">
        <v>199650</v>
      </c>
      <c r="D10" s="3" t="n">
        <v>0</v>
      </c>
      <c r="E10" s="6" t="inlineStr">
        <is>
          <t>Total Pasivo Corriente</t>
        </is>
      </c>
      <c r="H10" s="7">
        <f>SUM(H5:H9)-SUM(G5:G9)</f>
        <v/>
      </c>
    </row>
    <row r="11">
      <c r="A11" t="inlineStr">
        <is>
          <t>1401</t>
        </is>
      </c>
      <c r="B11" t="inlineStr">
        <is>
          <t>Otros Activos Corrientes</t>
        </is>
      </c>
      <c r="C11" s="2" t="n">
        <v>13310</v>
      </c>
      <c r="D11" s="3" t="n">
        <v>0</v>
      </c>
      <c r="E11" s="6" t="inlineStr">
        <is>
          <t>Pasivo No Corriente</t>
        </is>
      </c>
    </row>
    <row r="12">
      <c r="A12" s="6" t="inlineStr">
        <is>
          <t>Total Activo Corriente</t>
        </is>
      </c>
      <c r="D12" s="7">
        <f>SUM(D5:D11)-SUM(C5:C11)</f>
        <v/>
      </c>
      <c r="E12" t="inlineStr">
        <is>
          <t>2501</t>
        </is>
      </c>
      <c r="F12" t="inlineStr">
        <is>
          <t>Préstamos y Obligaciones a Largo Plazo</t>
        </is>
      </c>
      <c r="G12" s="2" t="n">
        <v>0</v>
      </c>
      <c r="H12" s="3" t="n">
        <v>188956</v>
      </c>
    </row>
    <row r="13">
      <c r="A13" s="6" t="inlineStr">
        <is>
          <t>Activo No Corriente</t>
        </is>
      </c>
      <c r="E13" s="6" t="inlineStr">
        <is>
          <t>Total Pasivo No Corriente</t>
        </is>
      </c>
      <c r="H13" s="7">
        <f>SUM(H12:H12)-SUM(G12:G12)</f>
        <v/>
      </c>
    </row>
    <row r="14">
      <c r="A14" t="inlineStr">
        <is>
          <t>1501</t>
        </is>
      </c>
      <c r="B14" t="inlineStr">
        <is>
          <t>Propiedad, Planta y Equipo - Costo</t>
        </is>
      </c>
      <c r="C14" s="2" t="n">
        <v>600000</v>
      </c>
      <c r="D14" s="3" t="n">
        <v>0</v>
      </c>
      <c r="E14" s="6" t="inlineStr">
        <is>
          <t>Patrimonio</t>
        </is>
      </c>
    </row>
    <row r="15">
      <c r="A15" t="inlineStr">
        <is>
          <t>1502</t>
        </is>
      </c>
      <c r="B15" t="inlineStr">
        <is>
          <t>Depreciación Acumulada de PPE</t>
        </is>
      </c>
      <c r="C15" s="2" t="n">
        <v>0</v>
      </c>
      <c r="D15" s="3" t="n">
        <v>195000</v>
      </c>
      <c r="E15" t="inlineStr">
        <is>
          <t>3101</t>
        </is>
      </c>
      <c r="F15" t="inlineStr">
        <is>
          <t>Capital Social</t>
        </is>
      </c>
      <c r="G15" s="2" t="n">
        <v>0</v>
      </c>
      <c r="H15" s="3" t="n">
        <v>629856</v>
      </c>
    </row>
    <row r="16">
      <c r="A16" t="inlineStr">
        <is>
          <t>1601</t>
        </is>
      </c>
      <c r="B16" t="inlineStr">
        <is>
          <t>Activos Intangibles</t>
        </is>
      </c>
      <c r="C16" s="2" t="n">
        <v>113374</v>
      </c>
      <c r="D16" s="3" t="n">
        <v>0</v>
      </c>
      <c r="E16" t="inlineStr">
        <is>
          <t>3102</t>
        </is>
      </c>
      <c r="F16" t="inlineStr">
        <is>
          <t>Reservas / Otras Cuentas de Patrimonio</t>
        </is>
      </c>
      <c r="G16" s="2" t="n">
        <v>0</v>
      </c>
      <c r="H16" s="3" t="n">
        <v>75582</v>
      </c>
    </row>
    <row r="17">
      <c r="A17" t="inlineStr">
        <is>
          <t>1602</t>
        </is>
      </c>
      <c r="B17" t="inlineStr">
        <is>
          <t>Amortización Acumulada</t>
        </is>
      </c>
      <c r="C17" s="2" t="n">
        <v>0</v>
      </c>
      <c r="D17" s="3" t="n">
        <v>45000</v>
      </c>
      <c r="E17" t="inlineStr">
        <is>
          <t>3103</t>
        </is>
      </c>
      <c r="F17" t="inlineStr">
        <is>
          <t>Utilidades Retenidas / Resultados Acumulados</t>
        </is>
      </c>
      <c r="G17" s="2" t="n">
        <v>0</v>
      </c>
      <c r="H17" s="3" t="n">
        <v>850000</v>
      </c>
    </row>
    <row r="18">
      <c r="A18" t="inlineStr">
        <is>
          <t>1701</t>
        </is>
      </c>
      <c r="B18" t="inlineStr">
        <is>
          <t>Otros Activos No Corrientes</t>
        </is>
      </c>
      <c r="C18" s="2" t="n">
        <v>25194</v>
      </c>
      <c r="D18" s="3" t="n">
        <v>0</v>
      </c>
      <c r="E18" s="6" t="inlineStr">
        <is>
          <t>Total Patrimonio</t>
        </is>
      </c>
      <c r="H18" s="7">
        <f>SUM(H15:H17)-SUM(G15:G17)</f>
        <v/>
      </c>
    </row>
    <row r="19">
      <c r="A19" s="6" t="inlineStr">
        <is>
          <t>Total Activo No Corriente</t>
        </is>
      </c>
      <c r="D19" s="7">
        <f>SUM(D14:D18)-SUM(C14:C18)</f>
        <v/>
      </c>
    </row>
    <row r="20">
      <c r="E20" s="6" t="inlineStr">
        <is>
          <t>Total Pasivos y Patrimonio</t>
        </is>
      </c>
      <c r="H20" s="6">
        <f>H10+H13+H18</f>
        <v/>
      </c>
    </row>
    <row r="21">
      <c r="A21" s="6" t="inlineStr">
        <is>
          <t>Total Activos</t>
        </is>
      </c>
      <c r="D21" s="6">
        <f>D12+D19</f>
        <v/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LEYENDA:</t>
        </is>
      </c>
      <c r="B1" s="2" t="n"/>
      <c r="C1" s="3" t="n"/>
    </row>
    <row r="2">
      <c r="A2" s="4" t="inlineStr">
        <is>
          <t>Código</t>
        </is>
      </c>
      <c r="B2" s="4" t="inlineStr">
        <is>
          <t>Cuenta</t>
        </is>
      </c>
      <c r="C2" s="4" t="inlineStr">
        <is>
          <t>Debe</t>
        </is>
      </c>
      <c r="D2" s="4" t="inlineStr">
        <is>
          <t>Haber</t>
        </is>
      </c>
      <c r="E2" s="4" t="inlineStr">
        <is>
          <t>Total</t>
        </is>
      </c>
    </row>
    <row r="3">
      <c r="A3" t="inlineStr">
        <is>
          <t>4101</t>
        </is>
      </c>
      <c r="B3" s="8" t="inlineStr">
        <is>
          <t>Ventas</t>
        </is>
      </c>
      <c r="C3" s="2" t="n">
        <v>0</v>
      </c>
      <c r="D3" s="3" t="n">
        <v>1685913</v>
      </c>
      <c r="E3">
        <f>D3-C3</f>
        <v/>
      </c>
    </row>
    <row r="4">
      <c r="A4" t="inlineStr">
        <is>
          <t>4102</t>
        </is>
      </c>
      <c r="B4" s="8" t="inlineStr">
        <is>
          <t>Descuentos sobre Ventas</t>
        </is>
      </c>
      <c r="C4" s="2" t="n">
        <v>37791</v>
      </c>
      <c r="D4" s="3" t="n">
        <v>0</v>
      </c>
      <c r="E4">
        <f>D4-C4</f>
        <v/>
      </c>
    </row>
    <row r="5">
      <c r="A5" t="inlineStr">
        <is>
          <t>4103</t>
        </is>
      </c>
      <c r="B5" s="8" t="inlineStr">
        <is>
          <t>Devoluciones sobre Ventas</t>
        </is>
      </c>
      <c r="C5" s="2" t="n">
        <v>25194</v>
      </c>
      <c r="D5" s="3" t="n">
        <v>0</v>
      </c>
      <c r="E5">
        <f>D5-C5</f>
        <v/>
      </c>
    </row>
    <row r="6">
      <c r="B6" s="6" t="inlineStr">
        <is>
          <t>Ventas Netas</t>
        </is>
      </c>
      <c r="E6" s="7">
        <f>SUM(D3:D5)-SUM(C3:C5)</f>
        <v/>
      </c>
    </row>
    <row r="7">
      <c r="A7" t="inlineStr">
        <is>
          <t>5101</t>
        </is>
      </c>
      <c r="B7" s="8" t="inlineStr">
        <is>
          <t>Costo de Ventas</t>
        </is>
      </c>
      <c r="C7" s="2" t="n">
        <v>865150</v>
      </c>
      <c r="D7" s="3" t="n">
        <v>0</v>
      </c>
      <c r="E7">
        <f>D7-C7</f>
        <v/>
      </c>
    </row>
    <row r="8">
      <c r="A8" t="inlineStr">
        <is>
          <t>5102</t>
        </is>
      </c>
      <c r="B8" s="8" t="inlineStr">
        <is>
          <t>Devoluciones sobre Compras</t>
        </is>
      </c>
      <c r="C8" s="2" t="n">
        <v>12597</v>
      </c>
      <c r="D8" s="3" t="n">
        <v>0</v>
      </c>
      <c r="E8">
        <f>D8-C8</f>
        <v/>
      </c>
    </row>
    <row r="9">
      <c r="B9" s="6" t="inlineStr">
        <is>
          <t>Costo Neto de Ventas</t>
        </is>
      </c>
      <c r="E9" s="7">
        <f>SUM(D7:D8)-SUM(C7:C8)</f>
        <v/>
      </c>
    </row>
    <row r="10">
      <c r="A10" t="inlineStr">
        <is>
          <t>5201</t>
        </is>
      </c>
      <c r="B10" s="8" t="inlineStr">
        <is>
          <t>Gastos Operativos / Administración</t>
        </is>
      </c>
      <c r="C10" s="2" t="n">
        <v>159720</v>
      </c>
      <c r="D10" s="3" t="n">
        <v>0</v>
      </c>
      <c r="E10">
        <f>D10-C10</f>
        <v/>
      </c>
    </row>
    <row r="11">
      <c r="A11" t="inlineStr">
        <is>
          <t>5202</t>
        </is>
      </c>
      <c r="B11" s="8" t="inlineStr">
        <is>
          <t>Gastos de Venta</t>
        </is>
      </c>
      <c r="C11" s="2" t="n">
        <v>106480</v>
      </c>
      <c r="D11" s="3" t="n">
        <v>0</v>
      </c>
      <c r="E11">
        <f>D11-C11</f>
        <v/>
      </c>
    </row>
    <row r="12">
      <c r="A12" t="inlineStr">
        <is>
          <t>5203</t>
        </is>
      </c>
      <c r="B12" s="8" t="inlineStr">
        <is>
          <t>Gastos Generales</t>
        </is>
      </c>
      <c r="C12" s="2" t="n">
        <v>53240</v>
      </c>
      <c r="D12" s="3" t="n">
        <v>0</v>
      </c>
      <c r="E12">
        <f>D12-C12</f>
        <v/>
      </c>
    </row>
    <row r="13">
      <c r="B13" s="6" t="inlineStr">
        <is>
          <t>Gastos Operativos</t>
        </is>
      </c>
      <c r="E13" s="7">
        <f>SUM(D10:D12)-SUM(C10:C12)</f>
        <v/>
      </c>
    </row>
    <row r="14">
      <c r="A14" t="inlineStr">
        <is>
          <t>4301</t>
        </is>
      </c>
      <c r="B14" s="8" t="inlineStr">
        <is>
          <t>Otros Ingresos</t>
        </is>
      </c>
      <c r="C14" s="2" t="n">
        <v>0</v>
      </c>
      <c r="D14" s="3" t="n">
        <v>31492</v>
      </c>
      <c r="E14">
        <f>D14-C14</f>
        <v/>
      </c>
    </row>
    <row r="15">
      <c r="B15" s="6" t="inlineStr">
        <is>
          <t>Otros Ingresos</t>
        </is>
      </c>
      <c r="E15" s="7">
        <f>SUM(D14:D14)-SUM(C14:C14)</f>
        <v/>
      </c>
    </row>
    <row r="16">
      <c r="A16" t="inlineStr">
        <is>
          <t>5301</t>
        </is>
      </c>
      <c r="B16" s="8" t="inlineStr">
        <is>
          <t>Otros Gastos</t>
        </is>
      </c>
      <c r="C16" s="2" t="n">
        <v>19965</v>
      </c>
      <c r="D16" s="3" t="n">
        <v>0</v>
      </c>
      <c r="E16">
        <f>D16-C16</f>
        <v/>
      </c>
    </row>
    <row r="17">
      <c r="B17" s="6" t="inlineStr">
        <is>
          <t>Otros Gastos</t>
        </is>
      </c>
      <c r="E17" s="7">
        <f>SUM(D16:D16)-SUM(C16:C16)</f>
        <v/>
      </c>
    </row>
    <row r="18">
      <c r="A18" t="inlineStr">
        <is>
          <t>5401</t>
        </is>
      </c>
      <c r="B18" s="8" t="inlineStr">
        <is>
          <t>Gasto Financiero / Intereses</t>
        </is>
      </c>
      <c r="C18" s="2" t="n">
        <v>15972</v>
      </c>
      <c r="D18" s="3" t="n">
        <v>0</v>
      </c>
      <c r="E18">
        <f>D18-C18</f>
        <v/>
      </c>
    </row>
    <row r="19">
      <c r="B19" s="6" t="inlineStr">
        <is>
          <t>Gasto Financiero</t>
        </is>
      </c>
      <c r="E19" s="7">
        <f>SUM(D18:D18)-SUM(C18:C18)</f>
        <v/>
      </c>
    </row>
    <row r="20">
      <c r="A20" t="inlineStr">
        <is>
          <t>5501</t>
        </is>
      </c>
      <c r="B20" s="8" t="inlineStr">
        <is>
          <t>Impuesto sobre la Renta</t>
        </is>
      </c>
      <c r="C20" s="2" t="n">
        <v>0</v>
      </c>
      <c r="D20" s="3" t="n">
        <v>62985</v>
      </c>
      <c r="E20">
        <f>D20-C20</f>
        <v/>
      </c>
    </row>
    <row r="21">
      <c r="B21" s="6" t="inlineStr">
        <is>
          <t>Impuesto sobre la Renta</t>
        </is>
      </c>
      <c r="E21" s="7">
        <f>SUM(D20:D20)-SUM(C20:C20)</f>
        <v/>
      </c>
    </row>
    <row r="22">
      <c r="A22" t="inlineStr">
        <is>
          <t>5103</t>
        </is>
      </c>
      <c r="B22" s="8" t="inlineStr">
        <is>
          <t>Compras de Mercancías</t>
        </is>
      </c>
      <c r="C22" s="2" t="n">
        <v>755827</v>
      </c>
      <c r="D22" s="3" t="n">
        <v>0</v>
      </c>
      <c r="E22">
        <f>D22-C22</f>
        <v/>
      </c>
    </row>
    <row r="23">
      <c r="A23" t="inlineStr">
        <is>
          <t>5601</t>
        </is>
      </c>
      <c r="B23" s="8" t="inlineStr">
        <is>
          <t>Gasto por Depreciación</t>
        </is>
      </c>
      <c r="C23" s="2" t="n">
        <v>25000</v>
      </c>
      <c r="D23" s="3" t="n">
        <v>0</v>
      </c>
      <c r="E23">
        <f>D23-C23</f>
        <v/>
      </c>
    </row>
    <row r="24">
      <c r="A24" t="inlineStr">
        <is>
          <t>5602</t>
        </is>
      </c>
      <c r="B24" s="8" t="inlineStr">
        <is>
          <t>Gasto por Amortización</t>
        </is>
      </c>
      <c r="C24" s="2" t="n">
        <v>10000</v>
      </c>
      <c r="D24" s="3" t="n">
        <v>0</v>
      </c>
      <c r="E24">
        <f>D24-C24</f>
        <v/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LEYENDA:</t>
        </is>
      </c>
      <c r="B1" s="2" t="n"/>
      <c r="C1" s="3" t="n"/>
      <c r="E1" t="inlineStr"/>
      <c r="F1" t="inlineStr"/>
      <c r="G1" t="inlineStr"/>
      <c r="H1" t="inlineStr"/>
    </row>
    <row r="2">
      <c r="A2" s="4" t="inlineStr">
        <is>
          <t>Activos</t>
        </is>
      </c>
      <c r="B2" s="4" t="inlineStr"/>
      <c r="C2" s="4" t="inlineStr"/>
      <c r="D2" s="4" t="inlineStr"/>
      <c r="E2" s="4" t="inlineStr">
        <is>
          <t>Pasivos y Patrimonio</t>
        </is>
      </c>
      <c r="F2" s="4" t="inlineStr"/>
      <c r="G2" s="4" t="inlineStr"/>
      <c r="H2" s="4" t="inlineStr"/>
    </row>
    <row r="3">
      <c r="A3" s="5" t="inlineStr">
        <is>
          <t>Código</t>
        </is>
      </c>
      <c r="B3" s="5" t="inlineStr">
        <is>
          <t>Nombre</t>
        </is>
      </c>
      <c r="C3" s="5" t="inlineStr">
        <is>
          <t>Debe</t>
        </is>
      </c>
      <c r="D3" s="5" t="inlineStr">
        <is>
          <t>Haber</t>
        </is>
      </c>
      <c r="E3" s="5" t="inlineStr">
        <is>
          <t>Código</t>
        </is>
      </c>
      <c r="F3" s="5" t="inlineStr">
        <is>
          <t>Nombre</t>
        </is>
      </c>
      <c r="G3" s="5" t="inlineStr">
        <is>
          <t>Debe</t>
        </is>
      </c>
      <c r="H3" s="5" t="inlineStr">
        <is>
          <t>Haber</t>
        </is>
      </c>
    </row>
    <row r="4">
      <c r="A4" s="6" t="inlineStr">
        <is>
          <t>Activo Corriente</t>
        </is>
      </c>
      <c r="E4" s="6" t="inlineStr">
        <is>
          <t>Pasivo Corriente</t>
        </is>
      </c>
    </row>
    <row r="5">
      <c r="A5" t="inlineStr">
        <is>
          <t>1101</t>
        </is>
      </c>
      <c r="B5" t="inlineStr">
        <is>
          <t>Caja</t>
        </is>
      </c>
      <c r="C5" s="2" t="n">
        <v>65884</v>
      </c>
      <c r="D5" s="3" t="n">
        <v>0</v>
      </c>
      <c r="E5" t="inlineStr">
        <is>
          <t>2101</t>
        </is>
      </c>
      <c r="F5" t="inlineStr">
        <is>
          <t>Cuentas por Pagar a Proveedores</t>
        </is>
      </c>
      <c r="G5" s="2" t="n">
        <v>0</v>
      </c>
      <c r="H5" s="3" t="n">
        <v>129246</v>
      </c>
    </row>
    <row r="6">
      <c r="A6" t="inlineStr">
        <is>
          <t>1102</t>
        </is>
      </c>
      <c r="B6" t="inlineStr">
        <is>
          <t>Bancos</t>
        </is>
      </c>
      <c r="C6" s="2" t="n">
        <v>190333</v>
      </c>
      <c r="D6" s="3" t="n">
        <v>0</v>
      </c>
      <c r="E6" t="inlineStr">
        <is>
          <t>2102</t>
        </is>
      </c>
      <c r="F6" t="inlineStr">
        <is>
          <t>Otras Cuentas por Pagar / Pasivos Acumulados CP</t>
        </is>
      </c>
      <c r="G6" s="2" t="n">
        <v>0</v>
      </c>
      <c r="H6" s="3" t="n">
        <v>47617</v>
      </c>
    </row>
    <row r="7">
      <c r="A7" t="inlineStr">
        <is>
          <t>1103</t>
        </is>
      </c>
      <c r="B7" t="inlineStr">
        <is>
          <t>Equivalentes de Efectivo / Inversiones a Corto Plazo</t>
        </is>
      </c>
      <c r="C7" s="2" t="n">
        <v>36602</v>
      </c>
      <c r="D7" s="3" t="n">
        <v>0</v>
      </c>
      <c r="E7" t="inlineStr">
        <is>
          <t>2103</t>
        </is>
      </c>
      <c r="F7" t="inlineStr">
        <is>
          <t>Porción Corriente de Préstamos</t>
        </is>
      </c>
      <c r="G7" s="2" t="n">
        <v>0</v>
      </c>
      <c r="H7" s="3" t="n">
        <v>27209</v>
      </c>
    </row>
    <row r="8">
      <c r="A8" t="inlineStr">
        <is>
          <t>1201</t>
        </is>
      </c>
      <c r="B8" t="inlineStr">
        <is>
          <t>Cuentas por Cobrar Comerciales</t>
        </is>
      </c>
      <c r="C8" s="2" t="n">
        <v>117128</v>
      </c>
      <c r="D8" s="3" t="n">
        <v>0</v>
      </c>
      <c r="E8" t="inlineStr">
        <is>
          <t>2104</t>
        </is>
      </c>
      <c r="F8" t="inlineStr">
        <is>
          <t>Documentos por Pagar</t>
        </is>
      </c>
      <c r="G8" s="2" t="n">
        <v>0</v>
      </c>
      <c r="H8" s="3" t="n">
        <v>54419</v>
      </c>
    </row>
    <row r="9">
      <c r="A9" t="inlineStr">
        <is>
          <t>1202</t>
        </is>
      </c>
      <c r="B9" t="inlineStr">
        <is>
          <t>Estimación para Cuentas Incobrables</t>
        </is>
      </c>
      <c r="C9" s="2" t="n">
        <v>0</v>
      </c>
      <c r="D9" s="3" t="n">
        <v>6802</v>
      </c>
      <c r="E9" t="inlineStr">
        <is>
          <t>5701</t>
        </is>
      </c>
      <c r="F9" t="inlineStr">
        <is>
          <t>Pago de Capital de Préstamos / Servicio de Deuda</t>
        </is>
      </c>
      <c r="G9" s="2" t="n">
        <v>0</v>
      </c>
      <c r="H9" s="3" t="n">
        <v>13604</v>
      </c>
    </row>
    <row r="10">
      <c r="A10" t="inlineStr">
        <is>
          <t>1301</t>
        </is>
      </c>
      <c r="B10" t="inlineStr">
        <is>
          <t>Inventarios</t>
        </is>
      </c>
      <c r="C10" s="2" t="n">
        <v>219615</v>
      </c>
      <c r="D10" s="3" t="n">
        <v>0</v>
      </c>
      <c r="E10" s="6" t="inlineStr">
        <is>
          <t>Total Pasivo Corriente</t>
        </is>
      </c>
      <c r="H10" s="7">
        <f>SUM(H5:H9)-SUM(G5:G9)</f>
        <v/>
      </c>
    </row>
    <row r="11">
      <c r="A11" t="inlineStr">
        <is>
          <t>1401</t>
        </is>
      </c>
      <c r="B11" t="inlineStr">
        <is>
          <t>Otros Activos Corrientes</t>
        </is>
      </c>
      <c r="C11" s="2" t="n">
        <v>14641</v>
      </c>
      <c r="D11" s="3" t="n">
        <v>0</v>
      </c>
      <c r="E11" s="6" t="inlineStr">
        <is>
          <t>Pasivo No Corriente</t>
        </is>
      </c>
    </row>
    <row r="12">
      <c r="A12" s="6" t="inlineStr">
        <is>
          <t>Total Activo Corriente</t>
        </is>
      </c>
      <c r="D12" s="7">
        <f>SUM(D5:D11)-SUM(C5:C11)</f>
        <v/>
      </c>
      <c r="E12" t="inlineStr">
        <is>
          <t>2501</t>
        </is>
      </c>
      <c r="F12" t="inlineStr">
        <is>
          <t>Préstamos y Obligaciones a Largo Plazo</t>
        </is>
      </c>
      <c r="G12" s="2" t="n">
        <v>0</v>
      </c>
      <c r="H12" s="3" t="n">
        <v>204073</v>
      </c>
    </row>
    <row r="13">
      <c r="A13" s="6" t="inlineStr">
        <is>
          <t>Activo No Corriente</t>
        </is>
      </c>
      <c r="E13" s="6" t="inlineStr">
        <is>
          <t>Total Pasivo No Corriente</t>
        </is>
      </c>
      <c r="H13" s="7">
        <f>SUM(H12:H12)-SUM(G12:G12)</f>
        <v/>
      </c>
    </row>
    <row r="14">
      <c r="A14" t="inlineStr">
        <is>
          <t>1501</t>
        </is>
      </c>
      <c r="B14" t="inlineStr">
        <is>
          <t>Propiedad, Planta y Equipo - Costo</t>
        </is>
      </c>
      <c r="C14" s="2" t="n">
        <v>729303</v>
      </c>
      <c r="D14" s="3" t="n">
        <v>0</v>
      </c>
      <c r="E14" s="6" t="inlineStr">
        <is>
          <t>Patrimonio</t>
        </is>
      </c>
    </row>
    <row r="15">
      <c r="A15" t="inlineStr">
        <is>
          <t>1502</t>
        </is>
      </c>
      <c r="B15" t="inlineStr">
        <is>
          <t>Depreciación Acumulada de PPE</t>
        </is>
      </c>
      <c r="C15" s="2" t="n">
        <v>0</v>
      </c>
      <c r="D15" s="3" t="n">
        <v>220000</v>
      </c>
      <c r="E15" t="inlineStr">
        <is>
          <t>3101</t>
        </is>
      </c>
      <c r="F15" t="inlineStr">
        <is>
          <t>Capital Social</t>
        </is>
      </c>
      <c r="G15" s="2" t="n">
        <v>0</v>
      </c>
      <c r="H15" s="3" t="n">
        <v>680244</v>
      </c>
    </row>
    <row r="16">
      <c r="A16" t="inlineStr">
        <is>
          <t>1601</t>
        </is>
      </c>
      <c r="B16" t="inlineStr">
        <is>
          <t>Activos Intangibles</t>
        </is>
      </c>
      <c r="C16" s="2" t="n">
        <v>122444</v>
      </c>
      <c r="D16" s="3" t="n">
        <v>0</v>
      </c>
      <c r="E16" t="inlineStr">
        <is>
          <t>3102</t>
        </is>
      </c>
      <c r="F16" t="inlineStr">
        <is>
          <t>Reservas / Otras Cuentas de Patrimonio</t>
        </is>
      </c>
      <c r="G16" s="2" t="n">
        <v>0</v>
      </c>
      <c r="H16" s="3" t="n">
        <v>81629</v>
      </c>
    </row>
    <row r="17">
      <c r="A17" t="inlineStr">
        <is>
          <t>1602</t>
        </is>
      </c>
      <c r="B17" t="inlineStr">
        <is>
          <t>Amortización Acumulada</t>
        </is>
      </c>
      <c r="C17" s="2" t="n">
        <v>0</v>
      </c>
      <c r="D17" s="3" t="n">
        <v>55000</v>
      </c>
      <c r="E17" t="inlineStr">
        <is>
          <t>3103</t>
        </is>
      </c>
      <c r="F17" t="inlineStr">
        <is>
          <t>Utilidades Retenidas / Resultados Acumulados</t>
        </is>
      </c>
      <c r="G17" s="2" t="n">
        <v>0</v>
      </c>
      <c r="H17" s="3" t="n">
        <v>1100000</v>
      </c>
    </row>
    <row r="18">
      <c r="A18" t="inlineStr">
        <is>
          <t>1701</t>
        </is>
      </c>
      <c r="B18" t="inlineStr">
        <is>
          <t>Otros Activos No Corrientes</t>
        </is>
      </c>
      <c r="C18" s="2" t="n">
        <v>27209</v>
      </c>
      <c r="D18" s="3" t="n">
        <v>0</v>
      </c>
      <c r="E18" s="6" t="inlineStr">
        <is>
          <t>Total Patrimonio</t>
        </is>
      </c>
      <c r="H18" s="7">
        <f>SUM(H15:H17)-SUM(G15:G17)</f>
        <v/>
      </c>
    </row>
    <row r="19">
      <c r="A19" s="6" t="inlineStr">
        <is>
          <t>Total Activo No Corriente</t>
        </is>
      </c>
      <c r="D19" s="7">
        <f>SUM(D14:D18)-SUM(C14:C18)</f>
        <v/>
      </c>
    </row>
    <row r="20">
      <c r="E20" s="6" t="inlineStr">
        <is>
          <t>Total Pasivos y Patrimonio</t>
        </is>
      </c>
      <c r="H20" s="6">
        <f>H10+H13+H18</f>
        <v/>
      </c>
    </row>
    <row r="21">
      <c r="A21" s="6" t="inlineStr">
        <is>
          <t>Total Activos</t>
        </is>
      </c>
      <c r="D21" s="6">
        <f>D12+D19</f>
        <v/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LEYENDA:</t>
        </is>
      </c>
      <c r="B1" s="2" t="n"/>
      <c r="C1" s="3" t="n"/>
    </row>
    <row r="2">
      <c r="A2" s="4" t="inlineStr">
        <is>
          <t>Código</t>
        </is>
      </c>
      <c r="B2" s="4" t="inlineStr">
        <is>
          <t>Cuenta</t>
        </is>
      </c>
      <c r="C2" s="4" t="inlineStr">
        <is>
          <t>Debe</t>
        </is>
      </c>
      <c r="D2" s="4" t="inlineStr">
        <is>
          <t>Haber</t>
        </is>
      </c>
      <c r="E2" s="4" t="inlineStr">
        <is>
          <t>Total</t>
        </is>
      </c>
    </row>
    <row r="3">
      <c r="A3" t="inlineStr">
        <is>
          <t>4101</t>
        </is>
      </c>
      <c r="B3" s="8" t="inlineStr">
        <is>
          <t>Ventas</t>
        </is>
      </c>
      <c r="C3" s="2" t="n">
        <v>0</v>
      </c>
      <c r="D3" s="3" t="n">
        <v>1888223</v>
      </c>
      <c r="E3">
        <f>D3-C3</f>
        <v/>
      </c>
    </row>
    <row r="4">
      <c r="A4" t="inlineStr">
        <is>
          <t>4102</t>
        </is>
      </c>
      <c r="B4" s="8" t="inlineStr">
        <is>
          <t>Descuentos sobre Ventas</t>
        </is>
      </c>
      <c r="C4" s="2" t="n">
        <v>40814</v>
      </c>
      <c r="D4" s="3" t="n">
        <v>0</v>
      </c>
      <c r="E4">
        <f>D4-C4</f>
        <v/>
      </c>
    </row>
    <row r="5">
      <c r="A5" t="inlineStr">
        <is>
          <t>4103</t>
        </is>
      </c>
      <c r="B5" s="8" t="inlineStr">
        <is>
          <t>Devoluciones sobre Ventas</t>
        </is>
      </c>
      <c r="C5" s="2" t="n">
        <v>27209</v>
      </c>
      <c r="D5" s="3" t="n">
        <v>0</v>
      </c>
      <c r="E5">
        <f>D5-C5</f>
        <v/>
      </c>
    </row>
    <row r="6">
      <c r="B6" s="6" t="inlineStr">
        <is>
          <t>Ventas Netas</t>
        </is>
      </c>
      <c r="E6" s="7">
        <f>SUM(D3:D5)-SUM(C3:C5)</f>
        <v/>
      </c>
    </row>
    <row r="7">
      <c r="A7" t="inlineStr">
        <is>
          <t>5101</t>
        </is>
      </c>
      <c r="B7" s="8" t="inlineStr">
        <is>
          <t>Costo de Ventas</t>
        </is>
      </c>
      <c r="C7" s="2" t="n">
        <v>951665</v>
      </c>
      <c r="D7" s="3" t="n">
        <v>0</v>
      </c>
      <c r="E7">
        <f>D7-C7</f>
        <v/>
      </c>
    </row>
    <row r="8">
      <c r="A8" t="inlineStr">
        <is>
          <t>5102</t>
        </is>
      </c>
      <c r="B8" s="8" t="inlineStr">
        <is>
          <t>Devoluciones sobre Compras</t>
        </is>
      </c>
      <c r="C8" s="2" t="n">
        <v>13604</v>
      </c>
      <c r="D8" s="3" t="n">
        <v>0</v>
      </c>
      <c r="E8">
        <f>D8-C8</f>
        <v/>
      </c>
    </row>
    <row r="9">
      <c r="B9" s="6" t="inlineStr">
        <is>
          <t>Costo Neto de Ventas</t>
        </is>
      </c>
      <c r="E9" s="7">
        <f>SUM(D7:D8)-SUM(C7:C8)</f>
        <v/>
      </c>
    </row>
    <row r="10">
      <c r="A10" t="inlineStr">
        <is>
          <t>5201</t>
        </is>
      </c>
      <c r="B10" s="8" t="inlineStr">
        <is>
          <t>Gastos Operativos / Administración</t>
        </is>
      </c>
      <c r="C10" s="2" t="n">
        <v>175692</v>
      </c>
      <c r="D10" s="3" t="n">
        <v>0</v>
      </c>
      <c r="E10">
        <f>D10-C10</f>
        <v/>
      </c>
    </row>
    <row r="11">
      <c r="A11" t="inlineStr">
        <is>
          <t>5202</t>
        </is>
      </c>
      <c r="B11" s="8" t="inlineStr">
        <is>
          <t>Gastos de Venta</t>
        </is>
      </c>
      <c r="C11" s="2" t="n">
        <v>117128</v>
      </c>
      <c r="D11" s="3" t="n">
        <v>0</v>
      </c>
      <c r="E11">
        <f>D11-C11</f>
        <v/>
      </c>
    </row>
    <row r="12">
      <c r="A12" t="inlineStr">
        <is>
          <t>5203</t>
        </is>
      </c>
      <c r="B12" s="8" t="inlineStr">
        <is>
          <t>Gastos Generales</t>
        </is>
      </c>
      <c r="C12" s="2" t="n">
        <v>58564</v>
      </c>
      <c r="D12" s="3" t="n">
        <v>0</v>
      </c>
      <c r="E12">
        <f>D12-C12</f>
        <v/>
      </c>
    </row>
    <row r="13">
      <c r="B13" s="6" t="inlineStr">
        <is>
          <t>Gastos Operativos</t>
        </is>
      </c>
      <c r="E13" s="7">
        <f>SUM(D10:D12)-SUM(C10:C12)</f>
        <v/>
      </c>
    </row>
    <row r="14">
      <c r="A14" t="inlineStr">
        <is>
          <t>4301</t>
        </is>
      </c>
      <c r="B14" s="8" t="inlineStr">
        <is>
          <t>Otros Ingresos</t>
        </is>
      </c>
      <c r="C14" s="2" t="n">
        <v>0</v>
      </c>
      <c r="D14" s="3" t="n">
        <v>34012</v>
      </c>
      <c r="E14">
        <f>D14-C14</f>
        <v/>
      </c>
    </row>
    <row r="15">
      <c r="B15" s="6" t="inlineStr">
        <is>
          <t>Otros Ingresos</t>
        </is>
      </c>
      <c r="E15" s="7">
        <f>SUM(D14:D14)-SUM(C14:C14)</f>
        <v/>
      </c>
    </row>
    <row r="16">
      <c r="A16" t="inlineStr">
        <is>
          <t>5301</t>
        </is>
      </c>
      <c r="B16" s="8" t="inlineStr">
        <is>
          <t>Otros Gastos</t>
        </is>
      </c>
      <c r="C16" s="2" t="n">
        <v>21961</v>
      </c>
      <c r="D16" s="3" t="n">
        <v>0</v>
      </c>
      <c r="E16">
        <f>D16-C16</f>
        <v/>
      </c>
    </row>
    <row r="17">
      <c r="B17" s="6" t="inlineStr">
        <is>
          <t>Otros Gastos</t>
        </is>
      </c>
      <c r="E17" s="7">
        <f>SUM(D16:D16)-SUM(C16:C16)</f>
        <v/>
      </c>
    </row>
    <row r="18">
      <c r="A18" t="inlineStr">
        <is>
          <t>5401</t>
        </is>
      </c>
      <c r="B18" s="8" t="inlineStr">
        <is>
          <t>Gasto Financiero / Intereses</t>
        </is>
      </c>
      <c r="C18" s="2" t="n">
        <v>17569</v>
      </c>
      <c r="D18" s="3" t="n">
        <v>0</v>
      </c>
      <c r="E18">
        <f>D18-C18</f>
        <v/>
      </c>
    </row>
    <row r="19">
      <c r="B19" s="6" t="inlineStr">
        <is>
          <t>Gasto Financiero</t>
        </is>
      </c>
      <c r="E19" s="7">
        <f>SUM(D18:D18)-SUM(C18:C18)</f>
        <v/>
      </c>
    </row>
    <row r="20">
      <c r="A20" t="inlineStr">
        <is>
          <t>5501</t>
        </is>
      </c>
      <c r="B20" s="8" t="inlineStr">
        <is>
          <t>Impuesto sobre la Renta</t>
        </is>
      </c>
      <c r="C20" s="2" t="n">
        <v>0</v>
      </c>
      <c r="D20" s="3" t="n">
        <v>68024</v>
      </c>
      <c r="E20">
        <f>D20-C20</f>
        <v/>
      </c>
    </row>
    <row r="21">
      <c r="B21" s="6" t="inlineStr">
        <is>
          <t>Impuesto sobre la Renta</t>
        </is>
      </c>
      <c r="E21" s="7">
        <f>SUM(D20:D20)-SUM(C20:C20)</f>
        <v/>
      </c>
    </row>
    <row r="22">
      <c r="A22" t="inlineStr">
        <is>
          <t>5103</t>
        </is>
      </c>
      <c r="B22" s="8" t="inlineStr">
        <is>
          <t>Compras de Mercancías</t>
        </is>
      </c>
      <c r="C22" s="2" t="n">
        <v>816293</v>
      </c>
      <c r="D22" s="3" t="n">
        <v>0</v>
      </c>
      <c r="E22">
        <f>D22-C22</f>
        <v/>
      </c>
    </row>
    <row r="23">
      <c r="A23" t="inlineStr">
        <is>
          <t>5601</t>
        </is>
      </c>
      <c r="B23" s="8" t="inlineStr">
        <is>
          <t>Gasto por Depreciación</t>
        </is>
      </c>
      <c r="C23" s="2" t="n">
        <v>25000</v>
      </c>
      <c r="D23" s="3" t="n">
        <v>0</v>
      </c>
      <c r="E23">
        <f>D23-C23</f>
        <v/>
      </c>
    </row>
    <row r="24">
      <c r="A24" t="inlineStr">
        <is>
          <t>5602</t>
        </is>
      </c>
      <c r="B24" s="8" t="inlineStr">
        <is>
          <t>Gasto por Amortización</t>
        </is>
      </c>
      <c r="C24" s="2" t="n">
        <v>10000</v>
      </c>
      <c r="D24" s="3" t="n">
        <v>0</v>
      </c>
      <c r="E24">
        <f>D24-C24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2025-11-12T01:05:43Z</dcterms:created>
  <dcterms:modified xsi:type="dcterms:W3CDTF">2025-11-12T01:05:43Z</dcterms:modified>
</cp:coreProperties>
</file>